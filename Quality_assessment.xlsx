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neda/SLR-DSL_code generation/papers/Excels/"/>
    </mc:Choice>
  </mc:AlternateContent>
  <xr:revisionPtr revIDLastSave="0" documentId="13_ncr:1_{FD9ECCA4-C894-FB4B-A3C3-0437C0652DDC}" xr6:coauthVersionLast="47" xr6:coauthVersionMax="47" xr10:uidLastSave="{00000000-0000-0000-0000-000000000000}"/>
  <bookViews>
    <workbookView xWindow="9460" yWindow="4060" windowWidth="34560" windowHeight="19780" activeTab="2" xr2:uid="{00000000-000D-0000-FFFF-FFFF00000000}"/>
  </bookViews>
  <sheets>
    <sheet name="Ensiye's QA" sheetId="1" r:id="rId1"/>
    <sheet name="Boris's QA" sheetId="2" r:id="rId2"/>
    <sheet name="Final Quality assessment" sheetId="3" r:id="rId3"/>
  </sheets>
  <definedNames>
    <definedName name="_xlnm._FilterDatabase" localSheetId="2" hidden="1">'Final Quality assessment'!$T$1:$T$46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1" i="3" l="1"/>
  <c r="T41" i="3" s="1"/>
  <c r="U41" i="3" s="1"/>
  <c r="S40" i="3"/>
  <c r="T40" i="3" s="1"/>
  <c r="U40" i="3" s="1"/>
  <c r="S39" i="3"/>
  <c r="T39" i="3" s="1"/>
  <c r="U39" i="3" s="1"/>
  <c r="S38" i="3"/>
  <c r="T38" i="3" s="1"/>
  <c r="U38" i="3" s="1"/>
  <c r="S37" i="3"/>
  <c r="T37" i="3" s="1"/>
  <c r="U37" i="3" s="1"/>
  <c r="S36" i="3"/>
  <c r="T36" i="3" s="1"/>
  <c r="U36" i="3" s="1"/>
  <c r="S35" i="3"/>
  <c r="T35" i="3" s="1"/>
  <c r="U35" i="3" s="1"/>
  <c r="S34" i="3"/>
  <c r="T34" i="3" s="1"/>
  <c r="U34" i="3" s="1"/>
  <c r="S33" i="3"/>
  <c r="T33" i="3" s="1"/>
  <c r="U33" i="3" s="1"/>
  <c r="S32" i="3"/>
  <c r="T32" i="3" s="1"/>
  <c r="U32" i="3" s="1"/>
  <c r="S31" i="3"/>
  <c r="T31" i="3" s="1"/>
  <c r="U31" i="3" s="1"/>
  <c r="S30" i="3"/>
  <c r="T30" i="3" s="1"/>
  <c r="U30" i="3" s="1"/>
  <c r="S29" i="3"/>
  <c r="T29" i="3" s="1"/>
  <c r="U29" i="3" s="1"/>
  <c r="S28" i="3"/>
  <c r="T28" i="3" s="1"/>
  <c r="U28" i="3" s="1"/>
  <c r="S27" i="3"/>
  <c r="T27" i="3" s="1"/>
  <c r="U27" i="3" s="1"/>
  <c r="S26" i="3"/>
  <c r="T26" i="3" s="1"/>
  <c r="U26" i="3" s="1"/>
  <c r="S25" i="3"/>
  <c r="T25" i="3" s="1"/>
  <c r="U25" i="3" s="1"/>
  <c r="S24" i="3"/>
  <c r="T24" i="3" s="1"/>
  <c r="U24" i="3" s="1"/>
  <c r="S23" i="3"/>
  <c r="T23" i="3" s="1"/>
  <c r="U23" i="3" s="1"/>
  <c r="S22" i="3"/>
  <c r="T22" i="3" s="1"/>
  <c r="U22" i="3" s="1"/>
  <c r="S21" i="3"/>
  <c r="T21" i="3" s="1"/>
  <c r="U21" i="3" s="1"/>
  <c r="S20" i="3"/>
  <c r="T20" i="3" s="1"/>
  <c r="U20" i="3" s="1"/>
  <c r="S19" i="3"/>
  <c r="T19" i="3" s="1"/>
  <c r="U19" i="3" s="1"/>
  <c r="S18" i="3"/>
  <c r="T18" i="3" s="1"/>
  <c r="U18" i="3" s="1"/>
  <c r="S17" i="3"/>
  <c r="T17" i="3" s="1"/>
  <c r="U17" i="3" s="1"/>
  <c r="S16" i="3"/>
  <c r="T16" i="3" s="1"/>
  <c r="U16" i="3" s="1"/>
  <c r="S15" i="3"/>
  <c r="T15" i="3" s="1"/>
  <c r="U15" i="3" s="1"/>
  <c r="S14" i="3"/>
  <c r="T14" i="3" s="1"/>
  <c r="U14" i="3" s="1"/>
  <c r="S13" i="3"/>
  <c r="T13" i="3" s="1"/>
  <c r="U13" i="3" s="1"/>
  <c r="S12" i="3"/>
  <c r="T12" i="3" s="1"/>
  <c r="U12" i="3" s="1"/>
  <c r="S11" i="3"/>
  <c r="T11" i="3" s="1"/>
  <c r="U11" i="3" s="1"/>
  <c r="S10" i="3"/>
  <c r="T10" i="3" s="1"/>
  <c r="U10" i="3" s="1"/>
  <c r="S9" i="3"/>
  <c r="T9" i="3" s="1"/>
  <c r="U9" i="3" s="1"/>
  <c r="S8" i="3"/>
  <c r="T8" i="3" s="1"/>
  <c r="U8" i="3" s="1"/>
  <c r="S7" i="3"/>
  <c r="T7" i="3" s="1"/>
  <c r="U7" i="3" s="1"/>
  <c r="S6" i="3"/>
  <c r="T6" i="3" s="1"/>
  <c r="U6" i="3" s="1"/>
  <c r="S5" i="3"/>
  <c r="T5" i="3" s="1"/>
  <c r="U5" i="3" s="1"/>
  <c r="S4" i="3"/>
  <c r="T4" i="3" s="1"/>
  <c r="U4" i="3" s="1"/>
  <c r="S3" i="3"/>
  <c r="T3" i="3" s="1"/>
  <c r="U3" i="3" s="1"/>
  <c r="M41" i="2"/>
  <c r="N41" i="2" s="1"/>
  <c r="O41" i="2" s="1"/>
  <c r="M40" i="2"/>
  <c r="N40" i="2" s="1"/>
  <c r="O40" i="2" s="1"/>
  <c r="M39" i="2"/>
  <c r="N39" i="2" s="1"/>
  <c r="O39" i="2" s="1"/>
  <c r="M38" i="2"/>
  <c r="N38" i="2" s="1"/>
  <c r="O38" i="2" s="1"/>
  <c r="O37" i="2"/>
  <c r="N37" i="2"/>
  <c r="M37" i="2"/>
  <c r="M36" i="2"/>
  <c r="N36" i="2" s="1"/>
  <c r="O36" i="2" s="1"/>
  <c r="M35" i="2"/>
  <c r="N35" i="2" s="1"/>
  <c r="O35" i="2" s="1"/>
  <c r="N34" i="2"/>
  <c r="O34" i="2" s="1"/>
  <c r="M34" i="2"/>
  <c r="M33" i="2"/>
  <c r="N33" i="2" s="1"/>
  <c r="O33" i="2" s="1"/>
  <c r="N32" i="2"/>
  <c r="O32" i="2" s="1"/>
  <c r="M32" i="2"/>
  <c r="M31" i="2"/>
  <c r="N31" i="2" s="1"/>
  <c r="O31" i="2" s="1"/>
  <c r="M30" i="2"/>
  <c r="N30" i="2" s="1"/>
  <c r="O30" i="2" s="1"/>
  <c r="M29" i="2"/>
  <c r="N29" i="2" s="1"/>
  <c r="O29" i="2" s="1"/>
  <c r="M28" i="2"/>
  <c r="N28" i="2" s="1"/>
  <c r="O28" i="2" s="1"/>
  <c r="N27" i="2"/>
  <c r="O27" i="2" s="1"/>
  <c r="M27" i="2"/>
  <c r="M26" i="2"/>
  <c r="N26" i="2" s="1"/>
  <c r="O26" i="2" s="1"/>
  <c r="M25" i="2"/>
  <c r="N25" i="2" s="1"/>
  <c r="O25" i="2" s="1"/>
  <c r="M24" i="2"/>
  <c r="N24" i="2" s="1"/>
  <c r="O24" i="2" s="1"/>
  <c r="M23" i="2"/>
  <c r="N23" i="2" s="1"/>
  <c r="O23" i="2" s="1"/>
  <c r="N22" i="2"/>
  <c r="O22" i="2" s="1"/>
  <c r="M22" i="2"/>
  <c r="M21" i="2"/>
  <c r="N21" i="2" s="1"/>
  <c r="O21" i="2" s="1"/>
  <c r="M20" i="2"/>
  <c r="N20" i="2" s="1"/>
  <c r="O20" i="2" s="1"/>
  <c r="M19" i="2"/>
  <c r="N19" i="2" s="1"/>
  <c r="O19" i="2" s="1"/>
  <c r="M18" i="2"/>
  <c r="N18" i="2" s="1"/>
  <c r="O18" i="2" s="1"/>
  <c r="N17" i="2"/>
  <c r="O17" i="2" s="1"/>
  <c r="M17" i="2"/>
  <c r="M16" i="2"/>
  <c r="N16" i="2" s="1"/>
  <c r="O16" i="2" s="1"/>
  <c r="M15" i="2"/>
  <c r="N15" i="2" s="1"/>
  <c r="O15" i="2" s="1"/>
  <c r="M14" i="2"/>
  <c r="N14" i="2" s="1"/>
  <c r="O14" i="2" s="1"/>
  <c r="M13" i="2"/>
  <c r="N13" i="2" s="1"/>
  <c r="O13" i="2" s="1"/>
  <c r="N12" i="2"/>
  <c r="O12" i="2" s="1"/>
  <c r="M12" i="2"/>
  <c r="M11" i="2"/>
  <c r="N11" i="2" s="1"/>
  <c r="O11" i="2" s="1"/>
  <c r="M10" i="2"/>
  <c r="N10" i="2" s="1"/>
  <c r="O10" i="2" s="1"/>
  <c r="M9" i="2"/>
  <c r="N9" i="2" s="1"/>
  <c r="O9" i="2" s="1"/>
  <c r="M8" i="2"/>
  <c r="N8" i="2" s="1"/>
  <c r="O8" i="2" s="1"/>
  <c r="N7" i="2"/>
  <c r="O7" i="2" s="1"/>
  <c r="M7" i="2"/>
  <c r="M6" i="2"/>
  <c r="N6" i="2" s="1"/>
  <c r="O6" i="2" s="1"/>
  <c r="M5" i="2"/>
  <c r="N5" i="2" s="1"/>
  <c r="O5" i="2" s="1"/>
  <c r="M4" i="2"/>
  <c r="N4" i="2" s="1"/>
  <c r="O4" i="2" s="1"/>
  <c r="M3" i="2"/>
  <c r="N3" i="2" s="1"/>
  <c r="O3" i="2" s="1"/>
  <c r="N41" i="1"/>
  <c r="O41" i="1" s="1"/>
  <c r="M41" i="1"/>
  <c r="M40" i="1"/>
  <c r="N40" i="1" s="1"/>
  <c r="O40" i="1" s="1"/>
  <c r="M39" i="1"/>
  <c r="N39" i="1" s="1"/>
  <c r="O39" i="1" s="1"/>
  <c r="M38" i="1"/>
  <c r="N38" i="1" s="1"/>
  <c r="O38" i="1" s="1"/>
  <c r="M37" i="1"/>
  <c r="N37" i="1" s="1"/>
  <c r="O37" i="1" s="1"/>
  <c r="N36" i="1"/>
  <c r="O36" i="1" s="1"/>
  <c r="M36" i="1"/>
  <c r="M35" i="1"/>
  <c r="N35" i="1" s="1"/>
  <c r="O35" i="1" s="1"/>
  <c r="M34" i="1"/>
  <c r="N34" i="1" s="1"/>
  <c r="O34" i="1" s="1"/>
  <c r="M33" i="1"/>
  <c r="N33" i="1" s="1"/>
  <c r="O33" i="1" s="1"/>
  <c r="M32" i="1"/>
  <c r="N32" i="1" s="1"/>
  <c r="O32" i="1" s="1"/>
  <c r="N31" i="1"/>
  <c r="O31" i="1" s="1"/>
  <c r="M31" i="1"/>
  <c r="M30" i="1"/>
  <c r="N30" i="1" s="1"/>
  <c r="O30" i="1" s="1"/>
  <c r="M29" i="1"/>
  <c r="N29" i="1" s="1"/>
  <c r="O29" i="1" s="1"/>
  <c r="M28" i="1"/>
  <c r="N28" i="1" s="1"/>
  <c r="O28" i="1" s="1"/>
  <c r="M27" i="1"/>
  <c r="N27" i="1" s="1"/>
  <c r="O27" i="1" s="1"/>
  <c r="N26" i="1"/>
  <c r="O26" i="1" s="1"/>
  <c r="M26" i="1"/>
  <c r="M25" i="1"/>
  <c r="N25" i="1" s="1"/>
  <c r="O25" i="1" s="1"/>
  <c r="M24" i="1"/>
  <c r="N24" i="1" s="1"/>
  <c r="O24" i="1" s="1"/>
  <c r="M23" i="1"/>
  <c r="N23" i="1" s="1"/>
  <c r="O23" i="1" s="1"/>
  <c r="M22" i="1"/>
  <c r="N22" i="1" s="1"/>
  <c r="O22" i="1" s="1"/>
  <c r="N21" i="1"/>
  <c r="O21" i="1" s="1"/>
  <c r="M21" i="1"/>
  <c r="M20" i="1"/>
  <c r="N20" i="1" s="1"/>
  <c r="O20" i="1" s="1"/>
  <c r="M19" i="1"/>
  <c r="N19" i="1" s="1"/>
  <c r="O19" i="1" s="1"/>
  <c r="M18" i="1"/>
  <c r="N18" i="1" s="1"/>
  <c r="O18" i="1" s="1"/>
  <c r="M17" i="1"/>
  <c r="N17" i="1" s="1"/>
  <c r="O17" i="1" s="1"/>
  <c r="N16" i="1"/>
  <c r="O16" i="1" s="1"/>
  <c r="M16" i="1"/>
  <c r="M15" i="1"/>
  <c r="N15" i="1" s="1"/>
  <c r="O15" i="1" s="1"/>
  <c r="M14" i="1"/>
  <c r="N14" i="1" s="1"/>
  <c r="O14" i="1" s="1"/>
  <c r="M13" i="1"/>
  <c r="N13" i="1" s="1"/>
  <c r="O13" i="1" s="1"/>
  <c r="M12" i="1"/>
  <c r="N12" i="1" s="1"/>
  <c r="O12" i="1" s="1"/>
  <c r="N11" i="1"/>
  <c r="O11" i="1" s="1"/>
  <c r="M11" i="1"/>
  <c r="M10" i="1"/>
  <c r="N10" i="1" s="1"/>
  <c r="O10" i="1" s="1"/>
  <c r="M9" i="1"/>
  <c r="N9" i="1" s="1"/>
  <c r="O9" i="1" s="1"/>
  <c r="M8" i="1"/>
  <c r="N8" i="1" s="1"/>
  <c r="O8" i="1" s="1"/>
  <c r="M7" i="1"/>
  <c r="N7" i="1" s="1"/>
  <c r="O7" i="1" s="1"/>
  <c r="N6" i="1"/>
  <c r="O6" i="1" s="1"/>
  <c r="M6" i="1"/>
  <c r="M5" i="1"/>
  <c r="N5" i="1" s="1"/>
  <c r="O5" i="1" s="1"/>
  <c r="M4" i="1"/>
  <c r="N4" i="1" s="1"/>
  <c r="O4" i="1" s="1"/>
  <c r="M3" i="1"/>
  <c r="N3" i="1" s="1"/>
  <c r="O3" i="1" s="1"/>
</calcChain>
</file>

<file path=xl/sharedStrings.xml><?xml version="1.0" encoding="utf-8"?>
<sst xmlns="http://schemas.openxmlformats.org/spreadsheetml/2006/main" count="522" uniqueCount="229">
  <si>
    <t>Paper Info</t>
  </si>
  <si>
    <t>QC1</t>
  </si>
  <si>
    <t>QC2</t>
  </si>
  <si>
    <t>QC3</t>
  </si>
  <si>
    <t>QC4</t>
  </si>
  <si>
    <t>QC5</t>
  </si>
  <si>
    <t>QC6</t>
  </si>
  <si>
    <t>QC7</t>
  </si>
  <si>
    <t>QC8</t>
  </si>
  <si>
    <t>QC9</t>
  </si>
  <si>
    <t>QC10</t>
  </si>
  <si>
    <t>Total</t>
  </si>
  <si>
    <t>Score %</t>
  </si>
  <si>
    <t>Pass/Fail</t>
  </si>
  <si>
    <t>Paper_ID</t>
  </si>
  <si>
    <t>Title</t>
  </si>
  <si>
    <t>Objective clear?</t>
  </si>
  <si>
    <t>Design appropriate?</t>
  </si>
  <si>
    <t>DSL/Data described?</t>
  </si>
  <si>
    <t>Data sources valid?</t>
  </si>
  <si>
    <t>Dataset size adequate?</t>
  </si>
  <si>
    <t>Methods justified?</t>
  </si>
  <si>
    <t>Metrics reported?</t>
  </si>
  <si>
    <t>Results detailed?</t>
  </si>
  <si>
    <t>Conclusions supported?</t>
  </si>
  <si>
    <t>Limitations discussed?</t>
  </si>
  <si>
    <t>Sum (max=20)</t>
  </si>
  <si>
    <t>P087</t>
  </si>
  <si>
    <t>MetaIndux-PLC: A Control Logic-Guided LLM for PLC code generation in industrial control systems</t>
  </si>
  <si>
    <t>P049</t>
  </si>
  <si>
    <t>Evaluating Large Language Models for Automatic Register Transfer Logic Generation via High-Level Synthesis</t>
  </si>
  <si>
    <t>P061</t>
  </si>
  <si>
    <t>hdl2v: A Code Translation Dataset for Enhanced LLM Verilog Generation</t>
  </si>
  <si>
    <t>P038</t>
  </si>
  <si>
    <t>DeepRTL: Bridging Verilog Understanding and Generation with a Unified Representation Model</t>
  </si>
  <si>
    <t>P131</t>
  </si>
  <si>
    <t>VeriGen: A Large Language Model for Verilog Code Generation</t>
  </si>
  <si>
    <t>P075</t>
  </si>
  <si>
    <t>LLM-based and Retrieval-Augmented Control Code Generation</t>
  </si>
  <si>
    <t>P002</t>
  </si>
  <si>
    <t>A data-centric chip design agent framework for Verilog code generation</t>
  </si>
  <si>
    <t>P103</t>
  </si>
  <si>
    <t>ResBench: A Resource-Aware Benchmark for LLM-Generated FPGA Designs</t>
  </si>
  <si>
    <t>P023</t>
  </si>
  <si>
    <t>AutoSilicon: Scaling Up RTL Design Generation Capability of Large Language Models</t>
  </si>
  <si>
    <t>P024</t>
  </si>
  <si>
    <t>AutoVCoder: A Systematic Framework for Automated Verilog Code Generation using LLMs</t>
  </si>
  <si>
    <t>P044</t>
  </si>
  <si>
    <t>EDA-Aware RTL Generation with Large Language Models</t>
  </si>
  <si>
    <t>P055</t>
  </si>
  <si>
    <t>GEMMV: An LLM-Based Automated Performance-Aware Framework for GEMM Verilog Generation</t>
  </si>
  <si>
    <t>P060</t>
  </si>
  <si>
    <t>HAVEN: Hallucination-Mitigated LLM for Verilog Code Generation Aligned with HDL Engineers</t>
  </si>
  <si>
    <t>P067</t>
  </si>
  <si>
    <t>Improving LLM-based Verilog Code Generation with Data Augmentation and RL</t>
  </si>
  <si>
    <t>P070</t>
  </si>
  <si>
    <t>VerilogEval: Evaluating Large Language Models for Verilog Code Generation</t>
  </si>
  <si>
    <t>P073</t>
  </si>
  <si>
    <t>Large Language Model for Verilog Generation with Code-Structure-Guided Reinforcement Learning</t>
  </si>
  <si>
    <t>P079</t>
  </si>
  <si>
    <t>LLM-VeriPPA: Power, Performance, and Area Optimization aware Verilog Code Generation with Large Language Models</t>
  </si>
  <si>
    <t>P083</t>
  </si>
  <si>
    <t>MAGE: A Multi-Agent Engine for Automated RTL Code Generation</t>
  </si>
  <si>
    <t>P097</t>
  </si>
  <si>
    <t>OPENRTLSET: A Fully Open-Source Dataset for Large Language Model-based Verilog Module Design</t>
  </si>
  <si>
    <t>P106</t>
  </si>
  <si>
    <t>RTL Agent: An Agent-Based Approach for Functionally Correct HDL Generation via LLMs</t>
  </si>
  <si>
    <t>P107</t>
  </si>
  <si>
    <t>RTL++: Graph-enhanced LLM for RTL Code Generation</t>
  </si>
  <si>
    <t>P109</t>
  </si>
  <si>
    <t>RTLCoder: Fully Open-Source and Efficient LLM-Assisted RTL Code Generation Technique</t>
  </si>
  <si>
    <t>P114</t>
  </si>
  <si>
    <t>Speculative Decoding for Verilog: Speed and Quality, All in One</t>
  </si>
  <si>
    <t>P120</t>
  </si>
  <si>
    <t>Towards LLM-Assisted HDL Generation and Verification</t>
  </si>
  <si>
    <t>P122</t>
  </si>
  <si>
    <t>Training LLMs for Generating IEC 61131-3 Structured Text with Online Feedback</t>
  </si>
  <si>
    <t>P133</t>
  </si>
  <si>
    <t>Verilog Code Generation of Hierarchical Design Using LLMs</t>
  </si>
  <si>
    <t>P136</t>
  </si>
  <si>
    <t>VHDL-Eval: A Framework for Evaluating Large Language Models in VHDL Code Generation</t>
  </si>
  <si>
    <t>P138</t>
  </si>
  <si>
    <t>VRank: Enhancing Verilog Code Generation from Large Language Models via Self-Consistency</t>
  </si>
  <si>
    <t>P032</t>
  </si>
  <si>
    <t>CodeV: Empowering LLMs with HDL Generation through Multi-Level Summarization</t>
  </si>
  <si>
    <t>P052</t>
  </si>
  <si>
    <t>FormalEval: A Method for Automatic Evaluation of Code Generation via Large Language Models</t>
  </si>
  <si>
    <t>P139</t>
  </si>
  <si>
    <t>VToT: Automatic Verilog Generation via LLMs with Tree of Thoughts Prompting</t>
  </si>
  <si>
    <t>P089</t>
  </si>
  <si>
    <t>MG-Verilog: Multi-grained Dataset Towards Enhanced LLM-assisted Verilog Generation</t>
  </si>
  <si>
    <t>P080</t>
  </si>
  <si>
    <t>LLM4GV: An LLM-Based Flexible Performance-Aware Framework for GEMM Verilog Generation</t>
  </si>
  <si>
    <t>P099</t>
  </si>
  <si>
    <t>Paradigm-Based Automatic HDL Code Generation Using LLMs</t>
  </si>
  <si>
    <t>P022</t>
  </si>
  <si>
    <t>Automatic Generation of PLC Code Based on Finetuned Large Language Models</t>
  </si>
  <si>
    <t>P069</t>
  </si>
  <si>
    <t>Investigation and Implementation of AI-HDLCoder for Automated VHDL Code Synthesis and Code Generation for Hardware SoC Development</t>
  </si>
  <si>
    <t>P019</t>
  </si>
  <si>
    <t>Automated Synthesis of Hardware Designs using Symbolic Feedback and Grammar-Constrained Decoding in Large Language Models</t>
  </si>
  <si>
    <t>P135</t>
  </si>
  <si>
    <t>VGV: Verilog Generation using Visual Capabilities of Multi-Modal Large Language Models</t>
  </si>
  <si>
    <t>P068</t>
  </si>
  <si>
    <t>Intelligent PLC Code Generation in HCPS 2.0: A Multi-dimensional Taxonomy and Evolutionary Framework</t>
  </si>
  <si>
    <t>Bibliographic</t>
  </si>
  <si>
    <t>Percent</t>
  </si>
  <si>
    <t>Result</t>
  </si>
  <si>
    <t>Year_month_day</t>
  </si>
  <si>
    <t>Venue_name</t>
  </si>
  <si>
    <t>Venue_type</t>
  </si>
  <si>
    <t>DOI</t>
  </si>
  <si>
    <t>Source</t>
  </si>
  <si>
    <t>authors</t>
  </si>
  <si>
    <t>Applied Soft Computing</t>
  </si>
  <si>
    <t>Journal</t>
  </si>
  <si>
    <t>10.1016/j.asoc.2025.113673</t>
  </si>
  <si>
    <t>Scopus</t>
  </si>
  <si>
    <t>Ren, L.; Wang, H.; Dong, J.; Wang, H.; Liu, S.; Laili, Y.; Zhang, L.</t>
  </si>
  <si>
    <t>Foundations and Trends in Electronic Design Automation</t>
  </si>
  <si>
    <t>10.1561/1000000063-3</t>
  </si>
  <si>
    <t>Swaroopa, S.; Mukherjee, R.; Debnath, A.; Chakraborty, R.S.</t>
  </si>
  <si>
    <t>Machine Learning for Computer Architecture and Systems</t>
  </si>
  <si>
    <t>Workshop</t>
  </si>
  <si>
    <t>10.1109/mlcad65511.2025.11189055</t>
  </si>
  <si>
    <t>Hong, C.; Roberts, B.; An, H.; Um, A.; Ratan, A.; Shao, Y.S.</t>
  </si>
  <si>
    <t>International Conference on Learning Representations</t>
  </si>
  <si>
    <t>Conference</t>
  </si>
  <si>
    <t>N/A</t>
  </si>
  <si>
    <t>Liu, Y.; Xu, C.; Zhou, Y.; Li, Z.; Xu, Q.</t>
  </si>
  <si>
    <t>ACM Transactions on Design Automation of Electronic Systems</t>
  </si>
  <si>
    <t>10.1145/3643681</t>
  </si>
  <si>
    <t>Thakur, S.; Ahmad, B.; Pearce, H.; Tan, B.; Dolan-Gavitt, B.; Karri, R.; Garg, S.</t>
  </si>
  <si>
    <t>2024 International Workshop on Large Language Models for Code (LLM4Code ’24)</t>
  </si>
  <si>
    <t>10.1145/3643795.3648384</t>
  </si>
  <si>
    <t>IEEE Xplore</t>
  </si>
  <si>
    <t>H. Koziolek; S. Grüner; R. Hark; V. Ashiwal; S. Linsbauer; N. Eskandani</t>
  </si>
  <si>
    <t>ACM Transactions on Design Automation of Electronic Systems (TODAES)</t>
  </si>
  <si>
    <t>10.1145/3727980</t>
  </si>
  <si>
    <t>Chang, K.; Zhu, W.; Wang, K.; He, X.; Yang, N.; Chen, Z.; Jin, D.; Li, C.; Zhou, Y.; Yan, H.; Zhao, Z.; Cheng, Y.; Wang, M.; Liang, S.; Han, Y.; Li, X.; Li, H.; Wang, Y.</t>
  </si>
  <si>
    <t>The International Symposium on Highly Efficient Accelerators and Reconfigurable Technologies 2025 (HEART 2025)</t>
  </si>
  <si>
    <t>10.1145/3728179.3728192</t>
  </si>
  <si>
    <t>Guo, C.; Zhao, T.</t>
  </si>
  <si>
    <t>10.1145/3737286</t>
  </si>
  <si>
    <t>Li, C.; Chen, C.; Pan, Y.; Xu, W.; Liu, Y.; Chang, K.; Wang, Y.; Wang, M.; Li, H.; Han, Y.; Wang, Y.</t>
  </si>
  <si>
    <t>IEEE 42nd International Conference on Computer Design (ICCD)</t>
  </si>
  <si>
    <t>10.1109/ICCD63220.2024.00033</t>
  </si>
  <si>
    <t>Gao, M.; Zhao, J.; Lin, Z.; Ding, W.; Hou, X.; Feng, Y.; Li, C.; Guo, M.</t>
  </si>
  <si>
    <t>Design, Automation &amp; Test in Europe Conference (DATE 2025) – Focus Session</t>
  </si>
  <si>
    <t>10.23919/date64628.2025.10992789</t>
  </si>
  <si>
    <t>Ul Islam, M.; Sami, H.; Gaillardon, P.-E.; Tenace, V.</t>
  </si>
  <si>
    <t>IEEE Journal on Emerging and Selected Topics in Circuits and Systems</t>
  </si>
  <si>
    <t>10.1109/JETCAS.2025.3568712</t>
  </si>
  <si>
    <t>Zhang, G.; Zou, D.; Sun, K.; Chen, Z.; Wang, M.; Wang, Z.</t>
  </si>
  <si>
    <t>Design, Automation &amp; Test in Europe Conference (DATE 2025)</t>
  </si>
  <si>
    <t>10.23919/date64628.2025.10993072</t>
  </si>
  <si>
    <t>Yang, Y.; Teng, F.; Liu, P.; Qi, M.; Lv, C.; Li, J.; Zhang, X.; He, Z.</t>
  </si>
  <si>
    <t>10.23919/date64628.2025.10992897</t>
  </si>
  <si>
    <t>Min, K.; Park, S.; Park, H.; Cho, J.; Kang, S.</t>
  </si>
  <si>
    <t>IEEE/ACM International Conference on Computer Aided Design (ICCAD)</t>
  </si>
  <si>
    <t>10.1109/ICCAD57390.2023.10323812</t>
  </si>
  <si>
    <t>Liu, M.; Pinckney, N.; Khailany, B.; Ren, H.</t>
  </si>
  <si>
    <t>IEEE International Conference on LLM-Aided Design (ICLAD)</t>
  </si>
  <si>
    <t>10.1109/ICLAD65226.2025.00025</t>
  </si>
  <si>
    <t>Wang, N.; Yao, B.; Zhou, J.; Hu, Y.; Wang, X.; Jiang, Z.; Guan, N.</t>
  </si>
  <si>
    <t>ACM/IEEE Symposium on Machine Learning for CAD (MLCAD)</t>
  </si>
  <si>
    <t>10.1109/MLCAD65511.2025.11189158</t>
  </si>
  <si>
    <t>Thorat, K.; Zhao, J.; Liu, Y.; Hasan, A.; Peng, H.; Xie, X.; Lei, B.; Ding, C.</t>
  </si>
  <si>
    <t>Design Automation Conference (DAC)</t>
  </si>
  <si>
    <t>10.1109/DAC63849.2025.11133191</t>
  </si>
  <si>
    <t>Zhao, Y.; Zhang, H.; Huang, H.; Yu, Z.; Zhao, J.</t>
  </si>
  <si>
    <t>10.1109/ICLAD65226.2025.00038</t>
  </si>
  <si>
    <t>Wang, J.; Wan, L.J.; Pingali, S.; Smith, S.; Jha, M.; Sivakumar, S.; Zhao, X.; Cao, K.; Chen, D.</t>
  </si>
  <si>
    <t>The 33rd Asian Test Symposium (ATS 2024)</t>
  </si>
  <si>
    <t>10.1109/ATS64447.2024.10915277</t>
  </si>
  <si>
    <t>Ranga, S.; Mao, R.; Bhattacharjee, D.; Cambria, E.; Chattopadhyay, A.</t>
  </si>
  <si>
    <t>10.1109/ICLAD65226.2025.00020</t>
  </si>
  <si>
    <t>Akyash, M.; Azar, K.; Kamali, H.</t>
  </si>
  <si>
    <t>IEEE Transactions on Computer-Aided Design of Integrated Circuits and Systems</t>
  </si>
  <si>
    <t>10.1109/TCAD.2024.3483089</t>
  </si>
  <si>
    <t>Liu, S.; Fang, W.; Lu, Y.; Wang, J.; Zhang, Q.; Zhang, H.; Xie, Z.</t>
  </si>
  <si>
    <t>ACM/IEEE Design Automation Conference (DAC)</t>
  </si>
  <si>
    <t>10.1109/DAC63849.2025.11133030</t>
  </si>
  <si>
    <t>Xu, C.; Liu, Y.; Zhou, Y.; Huang, S.; Xu, N.; Xu, Q.</t>
  </si>
  <si>
    <t>14th Mediterranean Conference on Embedded Computing (MECO)</t>
  </si>
  <si>
    <t>10.1109/MECO66322.2025.11049176</t>
  </si>
  <si>
    <t>Al Amin, R.; Lincoln, M.G.R.; Obermaisser, R.</t>
  </si>
  <si>
    <t>IEEE/ACM International Workshop on Large Language Models for Code (LLM4Code)</t>
  </si>
  <si>
    <t>10.1109/LLM4Code66737.2025.00013</t>
  </si>
  <si>
    <t>Haag, A.; Fuchs, B.; Kacan, A.; Lohse, O.</t>
  </si>
  <si>
    <t>ACM/IEEE 7th Symposium on Machine Learning for CAD (MLCAD)</t>
  </si>
  <si>
    <t>10.1109/MLCAD65511.2025.11189211</t>
  </si>
  <si>
    <t>G. Chang; S. Zhang; S. Kim; W. Kim; Y. Shin</t>
  </si>
  <si>
    <t>IEEE LLM Aided Design Workshop (LAD)</t>
  </si>
  <si>
    <t>10.1109/LAD62341.2024.10691836</t>
  </si>
  <si>
    <t>Vijayaraghavan, P.; Shi, L.; Ambrogio, S.; Mackin, C.; Nitsure, A.; Beymer, D.; Dehghan, E.</t>
  </si>
  <si>
    <t>International Symposium on Quality Electronic Design (ISQED)</t>
  </si>
  <si>
    <t>10.1109/ISQED65160.2025.11014398</t>
  </si>
  <si>
    <t>Zhao, Z.; Qiu, R.; Lin, I.-C.; Zhang, G.L.; Li, B.; Schlichtmann, U.</t>
  </si>
  <si>
    <t>10.1109/TCAD.2025.3604320</t>
  </si>
  <si>
    <t>Y. Zhao; D. Huang; C. Li; P. Jin; M. Song; Y. Xu; Z. Nan; M. Gao; T. Ma; L. Qi; Y. Pan; Z. Zhang; R. Zhang; X. Zhang; Z. Du; Q. Guo; X. Hu</t>
  </si>
  <si>
    <t>International Symposium of Electronics Design Automation (ISEDA)</t>
  </si>
  <si>
    <t>10.1109/iseda62518.2024.10617643</t>
  </si>
  <si>
    <t>Yang, S.; Yang, Y.</t>
  </si>
  <si>
    <t>Proceedings -Design, Automation and Test in Europe, DATE</t>
  </si>
  <si>
    <t>10.23919/date64628.2025.10993029</t>
  </si>
  <si>
    <t>Zhou, Y.; Chen, R.; Li, X.; Wang, J.; Fang, Z.; Wang, B.; Bai, W.; Cao, Q.; Wang, L.</t>
  </si>
  <si>
    <t>10.1109/lad62341.2024.10691738</t>
  </si>
  <si>
    <t>Y. Zhang; Z. Yu; Y. Fu; C. Wan; Y. C. Lin</t>
  </si>
  <si>
    <t>10.23919/date64628.2025.10992751</t>
  </si>
  <si>
    <t>Zou, D.; Zhang, G.; Sun, K.; Wen, Z.; Wang, M.; Wang, Z.</t>
  </si>
  <si>
    <t>Proceedings - International Symposium on Quality Electronic Design, ISQED</t>
  </si>
  <si>
    <t>10.1109/isqed65160.2025.11014391</t>
  </si>
  <si>
    <t>Sun, W.; Li, B.; Zhang, G.L.; Yin, X.; Zhuo, C.; Schlichtmann, U.</t>
  </si>
  <si>
    <t>IEEE 26th China Conference on System Simulation Technology and its Applications (CCSSTA)</t>
  </si>
  <si>
    <t>10.1109/ieeeconf65522.2025.11136984</t>
  </si>
  <si>
    <t>Ren, L.; Zhou, N.; Liu, G.-P.; Deng, W.; Liang, X.; Yang, C.</t>
  </si>
  <si>
    <t>35th Irish Signals and Systems Conference (ISSC)</t>
  </si>
  <si>
    <t>10.1109/issc61953.2024.10602909</t>
  </si>
  <si>
    <t>Romashchenko, V.; Brutscheck, M.; Chmielewski, I.</t>
  </si>
  <si>
    <t>IEEE National Aerospace and Electronics Conference</t>
  </si>
  <si>
    <t>10.1109/naecon61878.2024.10670630</t>
  </si>
  <si>
    <t>S. Kumar Jha; S. Jha; M. R. Haq Rashed; R. Ewetz; A. Velasquez</t>
  </si>
  <si>
    <t>2024 IEEE LLM Aided Design Workshop (LAD)</t>
  </si>
  <si>
    <t>10.1109/lad62341.2024.10691753</t>
  </si>
  <si>
    <t>S. -Z. Wong; G. -W. Wan; D. Liu; X. Wang</t>
  </si>
  <si>
    <t>GAIIS '25: Proceedings of the 2025 2nd International Conference on Generative Artificial Intelligence and Information Security</t>
  </si>
  <si>
    <t>10.1145/3728725.3728757</t>
  </si>
  <si>
    <t>Xia, W.; Zhang, Y.; Zhao, B.; Liu, W.; Han, L.; Ye, 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</si>
</sst>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2"/>
      <color theme="1"/>
      <name val="Aptos Narrow"/>
      <family val="2"/>
      <scheme val="minor"/>
    </font>
    <font>
      <b/>
      <sz val="14"/>
      <color theme="0"/>
      <name val="Times New Roman"/>
      <family val="1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9"/>
      <color theme="0"/>
      <name val="Times New Roman"/>
      <family val="1"/>
    </font>
    <font>
      <sz val="12"/>
      <color rgb="FF000000"/>
      <name val="Times New Roman"/>
      <family val="1"/>
    </font>
    <font>
      <b/>
      <sz val="14"/>
      <color rgb="FFFFFFFF"/>
      <name val="Times New Roman"/>
      <family val="1"/>
    </font>
    <font>
      <b/>
      <sz val="9"/>
      <color rgb="FFFFFFFF"/>
      <name val="Times New Roman"/>
      <family val="1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215C98"/>
        <bgColor rgb="FF4472C4"/>
      </patternFill>
    </fill>
    <fill>
      <patternFill patternType="solid">
        <fgColor rgb="FF215C98"/>
        <bgColor rgb="FF5B9BD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9" fontId="8" fillId="0" borderId="4" xfId="0" applyNumberFormat="1" applyFont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0" fillId="6" borderId="4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0" fillId="6" borderId="2" xfId="0" applyFill="1" applyBorder="1"/>
    <xf numFmtId="0" fontId="0" fillId="6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5C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workbookViewId="0">
      <selection activeCell="Q8" sqref="Q8"/>
    </sheetView>
  </sheetViews>
  <sheetFormatPr baseColWidth="10" defaultColWidth="8.83203125" defaultRowHeight="16" x14ac:dyDescent="0.2"/>
  <cols>
    <col min="1" max="1" width="10" customWidth="1"/>
    <col min="2" max="2" width="40" customWidth="1"/>
    <col min="3" max="15" width="12" customWidth="1"/>
  </cols>
  <sheetData>
    <row r="1" spans="1:15" ht="19" x14ac:dyDescent="0.2">
      <c r="A1" s="21" t="s">
        <v>0</v>
      </c>
      <c r="B1" s="22"/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</row>
    <row r="2" spans="1:15" ht="26" x14ac:dyDescent="0.2">
      <c r="A2" s="19" t="s">
        <v>14</v>
      </c>
      <c r="B2" s="19" t="s">
        <v>15</v>
      </c>
      <c r="C2" s="19" t="s">
        <v>16</v>
      </c>
      <c r="D2" s="19" t="s">
        <v>17</v>
      </c>
      <c r="E2" s="19" t="s">
        <v>18</v>
      </c>
      <c r="F2" s="19" t="s">
        <v>19</v>
      </c>
      <c r="G2" s="19" t="s">
        <v>20</v>
      </c>
      <c r="H2" s="19" t="s">
        <v>21</v>
      </c>
      <c r="I2" s="19" t="s">
        <v>22</v>
      </c>
      <c r="J2" s="19" t="s">
        <v>23</v>
      </c>
      <c r="K2" s="19" t="s">
        <v>24</v>
      </c>
      <c r="L2" s="19" t="s">
        <v>25</v>
      </c>
      <c r="M2" s="19" t="s">
        <v>26</v>
      </c>
      <c r="N2" s="19" t="s">
        <v>12</v>
      </c>
      <c r="O2" s="19" t="s">
        <v>13</v>
      </c>
    </row>
    <row r="3" spans="1:15" ht="28" x14ac:dyDescent="0.2">
      <c r="A3" s="15" t="s">
        <v>27</v>
      </c>
      <c r="B3" s="16" t="s">
        <v>28</v>
      </c>
      <c r="C3" s="15">
        <v>2</v>
      </c>
      <c r="D3" s="15">
        <v>2</v>
      </c>
      <c r="E3" s="15">
        <v>1</v>
      </c>
      <c r="F3" s="15">
        <v>0</v>
      </c>
      <c r="G3" s="15">
        <v>1</v>
      </c>
      <c r="H3" s="15">
        <v>2</v>
      </c>
      <c r="I3" s="15">
        <v>1</v>
      </c>
      <c r="J3" s="15">
        <v>2</v>
      </c>
      <c r="K3" s="15">
        <v>1</v>
      </c>
      <c r="L3" s="15">
        <v>1</v>
      </c>
      <c r="M3" s="15">
        <f t="shared" ref="M3:M41" si="0">SUM(C3:L3)</f>
        <v>13</v>
      </c>
      <c r="N3" s="17">
        <f t="shared" ref="N3:N41" si="1">IF(M3=0,0,M3/20)</f>
        <v>0.65</v>
      </c>
      <c r="O3" s="15" t="str">
        <f t="shared" ref="O3:O41" si="2">IF(N3=0,"",IF(N3&gt;=0.65,"PASS","FAIL"))</f>
        <v>PASS</v>
      </c>
    </row>
    <row r="4" spans="1:15" ht="42" x14ac:dyDescent="0.2">
      <c r="A4" s="15" t="s">
        <v>29</v>
      </c>
      <c r="B4" s="16" t="s">
        <v>30</v>
      </c>
      <c r="C4" s="15">
        <v>2</v>
      </c>
      <c r="D4" s="15">
        <v>2</v>
      </c>
      <c r="E4" s="15">
        <v>1</v>
      </c>
      <c r="F4" s="15">
        <v>2</v>
      </c>
      <c r="G4" s="15">
        <v>1</v>
      </c>
      <c r="H4" s="15">
        <v>2</v>
      </c>
      <c r="I4" s="15">
        <v>2</v>
      </c>
      <c r="J4" s="15">
        <v>1</v>
      </c>
      <c r="K4" s="15">
        <v>2</v>
      </c>
      <c r="L4" s="15">
        <v>1</v>
      </c>
      <c r="M4" s="15">
        <f t="shared" si="0"/>
        <v>16</v>
      </c>
      <c r="N4" s="17">
        <f t="shared" si="1"/>
        <v>0.8</v>
      </c>
      <c r="O4" s="15" t="str">
        <f t="shared" si="2"/>
        <v>PASS</v>
      </c>
    </row>
    <row r="5" spans="1:15" ht="28" x14ac:dyDescent="0.2">
      <c r="A5" s="15" t="s">
        <v>31</v>
      </c>
      <c r="B5" s="16" t="s">
        <v>32</v>
      </c>
      <c r="C5" s="15">
        <v>2</v>
      </c>
      <c r="D5" s="15">
        <v>2</v>
      </c>
      <c r="E5" s="15">
        <v>2</v>
      </c>
      <c r="F5" s="15">
        <v>2</v>
      </c>
      <c r="G5" s="15">
        <v>1</v>
      </c>
      <c r="H5" s="15">
        <v>2</v>
      </c>
      <c r="I5" s="15">
        <v>2</v>
      </c>
      <c r="J5" s="15">
        <v>2</v>
      </c>
      <c r="K5" s="15">
        <v>2</v>
      </c>
      <c r="L5" s="15">
        <v>0</v>
      </c>
      <c r="M5" s="15">
        <f t="shared" si="0"/>
        <v>17</v>
      </c>
      <c r="N5" s="17">
        <f t="shared" si="1"/>
        <v>0.85</v>
      </c>
      <c r="O5" s="15" t="str">
        <f t="shared" si="2"/>
        <v>PASS</v>
      </c>
    </row>
    <row r="6" spans="1:15" ht="28" x14ac:dyDescent="0.2">
      <c r="A6" s="15" t="s">
        <v>33</v>
      </c>
      <c r="B6" s="16" t="s">
        <v>34</v>
      </c>
      <c r="C6" s="15">
        <v>2</v>
      </c>
      <c r="D6" s="15">
        <v>2</v>
      </c>
      <c r="E6" s="15">
        <v>2</v>
      </c>
      <c r="F6" s="15">
        <v>1</v>
      </c>
      <c r="G6" s="15">
        <v>2</v>
      </c>
      <c r="H6" s="15">
        <v>2</v>
      </c>
      <c r="I6" s="15">
        <v>2</v>
      </c>
      <c r="J6" s="15">
        <v>2</v>
      </c>
      <c r="K6" s="15">
        <v>2</v>
      </c>
      <c r="L6" s="15">
        <v>1</v>
      </c>
      <c r="M6" s="15">
        <f t="shared" si="0"/>
        <v>18</v>
      </c>
      <c r="N6" s="17">
        <f t="shared" si="1"/>
        <v>0.9</v>
      </c>
      <c r="O6" s="15" t="str">
        <f t="shared" si="2"/>
        <v>PASS</v>
      </c>
    </row>
    <row r="7" spans="1:15" ht="28" x14ac:dyDescent="0.2">
      <c r="A7" s="15" t="s">
        <v>35</v>
      </c>
      <c r="B7" s="16" t="s">
        <v>36</v>
      </c>
      <c r="C7" s="15">
        <v>2</v>
      </c>
      <c r="D7" s="15">
        <v>2</v>
      </c>
      <c r="E7" s="15">
        <v>1</v>
      </c>
      <c r="F7" s="15">
        <v>2</v>
      </c>
      <c r="G7" s="15">
        <v>2</v>
      </c>
      <c r="H7" s="15">
        <v>2</v>
      </c>
      <c r="I7" s="15">
        <v>2</v>
      </c>
      <c r="J7" s="15">
        <v>2</v>
      </c>
      <c r="K7" s="15">
        <v>1</v>
      </c>
      <c r="L7" s="15">
        <v>2</v>
      </c>
      <c r="M7" s="15">
        <f t="shared" si="0"/>
        <v>18</v>
      </c>
      <c r="N7" s="17">
        <f t="shared" si="1"/>
        <v>0.9</v>
      </c>
      <c r="O7" s="15" t="str">
        <f t="shared" si="2"/>
        <v>PASS</v>
      </c>
    </row>
    <row r="8" spans="1:15" ht="28" x14ac:dyDescent="0.2">
      <c r="A8" s="15" t="s">
        <v>37</v>
      </c>
      <c r="B8" s="16" t="s">
        <v>38</v>
      </c>
      <c r="C8" s="15">
        <v>2</v>
      </c>
      <c r="D8" s="15">
        <v>0</v>
      </c>
      <c r="E8" s="15">
        <v>1</v>
      </c>
      <c r="F8" s="15">
        <v>2</v>
      </c>
      <c r="G8" s="15">
        <v>1</v>
      </c>
      <c r="H8" s="15">
        <v>1</v>
      </c>
      <c r="I8" s="15">
        <v>1</v>
      </c>
      <c r="J8" s="15">
        <v>1</v>
      </c>
      <c r="K8" s="15">
        <v>1</v>
      </c>
      <c r="L8" s="15">
        <v>2</v>
      </c>
      <c r="M8" s="15">
        <f t="shared" si="0"/>
        <v>12</v>
      </c>
      <c r="N8" s="17">
        <f t="shared" si="1"/>
        <v>0.6</v>
      </c>
      <c r="O8" s="15" t="str">
        <f t="shared" si="2"/>
        <v>FAIL</v>
      </c>
    </row>
    <row r="9" spans="1:15" ht="28" x14ac:dyDescent="0.2">
      <c r="A9" s="15" t="s">
        <v>39</v>
      </c>
      <c r="B9" s="16" t="s">
        <v>40</v>
      </c>
      <c r="C9" s="15">
        <v>2</v>
      </c>
      <c r="D9" s="15">
        <v>2</v>
      </c>
      <c r="E9" s="15">
        <v>1</v>
      </c>
      <c r="F9" s="15">
        <v>1</v>
      </c>
      <c r="G9" s="15">
        <v>1</v>
      </c>
      <c r="H9" s="15">
        <v>2</v>
      </c>
      <c r="I9" s="15">
        <v>2</v>
      </c>
      <c r="J9" s="15">
        <v>2</v>
      </c>
      <c r="K9" s="15">
        <v>1</v>
      </c>
      <c r="L9" s="15">
        <v>1</v>
      </c>
      <c r="M9" s="15">
        <f t="shared" si="0"/>
        <v>15</v>
      </c>
      <c r="N9" s="17">
        <f t="shared" si="1"/>
        <v>0.75</v>
      </c>
      <c r="O9" s="15" t="str">
        <f t="shared" si="2"/>
        <v>PASS</v>
      </c>
    </row>
    <row r="10" spans="1:15" ht="28" x14ac:dyDescent="0.2">
      <c r="A10" s="15" t="s">
        <v>41</v>
      </c>
      <c r="B10" s="16" t="s">
        <v>42</v>
      </c>
      <c r="C10" s="15">
        <v>2</v>
      </c>
      <c r="D10" s="15">
        <v>2</v>
      </c>
      <c r="E10" s="15">
        <v>1</v>
      </c>
      <c r="F10" s="15">
        <v>2</v>
      </c>
      <c r="G10" s="15">
        <v>1</v>
      </c>
      <c r="H10" s="15">
        <v>1</v>
      </c>
      <c r="I10" s="15">
        <v>2</v>
      </c>
      <c r="J10" s="15">
        <v>1</v>
      </c>
      <c r="K10" s="15">
        <v>2</v>
      </c>
      <c r="L10" s="15">
        <v>1</v>
      </c>
      <c r="M10" s="15">
        <f t="shared" si="0"/>
        <v>15</v>
      </c>
      <c r="N10" s="17">
        <f t="shared" si="1"/>
        <v>0.75</v>
      </c>
      <c r="O10" s="15" t="str">
        <f t="shared" si="2"/>
        <v>PASS</v>
      </c>
    </row>
    <row r="11" spans="1:15" ht="28" x14ac:dyDescent="0.2">
      <c r="A11" s="15" t="s">
        <v>43</v>
      </c>
      <c r="B11" s="16" t="s">
        <v>44</v>
      </c>
      <c r="C11" s="15">
        <v>2</v>
      </c>
      <c r="D11" s="15">
        <v>2</v>
      </c>
      <c r="E11" s="15">
        <v>2</v>
      </c>
      <c r="F11" s="15">
        <v>2</v>
      </c>
      <c r="G11" s="15">
        <v>2</v>
      </c>
      <c r="H11" s="15">
        <v>2</v>
      </c>
      <c r="I11" s="15">
        <v>2</v>
      </c>
      <c r="J11" s="15">
        <v>1</v>
      </c>
      <c r="K11" s="15">
        <v>2</v>
      </c>
      <c r="L11" s="15">
        <v>2</v>
      </c>
      <c r="M11" s="15">
        <f t="shared" si="0"/>
        <v>19</v>
      </c>
      <c r="N11" s="17">
        <f t="shared" si="1"/>
        <v>0.95</v>
      </c>
      <c r="O11" s="15" t="str">
        <f t="shared" si="2"/>
        <v>PASS</v>
      </c>
    </row>
    <row r="12" spans="1:15" ht="28" x14ac:dyDescent="0.2">
      <c r="A12" s="15" t="s">
        <v>45</v>
      </c>
      <c r="B12" s="16" t="s">
        <v>46</v>
      </c>
      <c r="C12" s="15">
        <v>2</v>
      </c>
      <c r="D12" s="15">
        <v>1</v>
      </c>
      <c r="E12" s="15">
        <v>1</v>
      </c>
      <c r="F12" s="15">
        <v>2</v>
      </c>
      <c r="G12" s="15">
        <v>1</v>
      </c>
      <c r="H12" s="15">
        <v>1</v>
      </c>
      <c r="I12" s="15">
        <v>2</v>
      </c>
      <c r="J12" s="15">
        <v>0</v>
      </c>
      <c r="K12" s="15">
        <v>2</v>
      </c>
      <c r="L12" s="15">
        <v>1</v>
      </c>
      <c r="M12" s="15">
        <f t="shared" si="0"/>
        <v>13</v>
      </c>
      <c r="N12" s="17">
        <f t="shared" si="1"/>
        <v>0.65</v>
      </c>
      <c r="O12" s="15" t="str">
        <f t="shared" si="2"/>
        <v>PASS</v>
      </c>
    </row>
    <row r="13" spans="1:15" ht="28" x14ac:dyDescent="0.2">
      <c r="A13" s="15" t="s">
        <v>47</v>
      </c>
      <c r="B13" s="16" t="s">
        <v>48</v>
      </c>
      <c r="C13" s="15">
        <v>2</v>
      </c>
      <c r="D13" s="15">
        <v>2</v>
      </c>
      <c r="E13" s="15">
        <v>1</v>
      </c>
      <c r="F13" s="15">
        <v>2</v>
      </c>
      <c r="G13" s="15">
        <v>0</v>
      </c>
      <c r="H13" s="15">
        <v>2</v>
      </c>
      <c r="I13" s="15">
        <v>2</v>
      </c>
      <c r="J13" s="15">
        <v>1</v>
      </c>
      <c r="K13" s="15">
        <v>2</v>
      </c>
      <c r="L13" s="15">
        <v>0</v>
      </c>
      <c r="M13" s="15">
        <f t="shared" si="0"/>
        <v>14</v>
      </c>
      <c r="N13" s="17">
        <f t="shared" si="1"/>
        <v>0.7</v>
      </c>
      <c r="O13" s="15" t="str">
        <f t="shared" si="2"/>
        <v>PASS</v>
      </c>
    </row>
    <row r="14" spans="1:15" ht="28" x14ac:dyDescent="0.2">
      <c r="A14" s="15" t="s">
        <v>49</v>
      </c>
      <c r="B14" s="16" t="s">
        <v>50</v>
      </c>
      <c r="C14" s="15">
        <v>2</v>
      </c>
      <c r="D14" s="15">
        <v>2</v>
      </c>
      <c r="E14" s="15">
        <v>1</v>
      </c>
      <c r="F14" s="15">
        <v>2</v>
      </c>
      <c r="G14" s="15">
        <v>2</v>
      </c>
      <c r="H14" s="15">
        <v>2</v>
      </c>
      <c r="I14" s="15">
        <v>2</v>
      </c>
      <c r="J14" s="15">
        <v>1</v>
      </c>
      <c r="K14" s="15">
        <v>2</v>
      </c>
      <c r="L14" s="15">
        <v>0</v>
      </c>
      <c r="M14" s="15">
        <f t="shared" si="0"/>
        <v>16</v>
      </c>
      <c r="N14" s="17">
        <f t="shared" si="1"/>
        <v>0.8</v>
      </c>
      <c r="O14" s="15" t="str">
        <f t="shared" si="2"/>
        <v>PASS</v>
      </c>
    </row>
    <row r="15" spans="1:15" ht="28" x14ac:dyDescent="0.2">
      <c r="A15" s="15" t="s">
        <v>51</v>
      </c>
      <c r="B15" s="16" t="s">
        <v>52</v>
      </c>
      <c r="C15" s="15">
        <v>2</v>
      </c>
      <c r="D15" s="15">
        <v>2</v>
      </c>
      <c r="E15" s="15">
        <v>1</v>
      </c>
      <c r="F15" s="15">
        <v>2</v>
      </c>
      <c r="G15" s="15">
        <v>2</v>
      </c>
      <c r="H15" s="15">
        <v>2</v>
      </c>
      <c r="I15" s="15">
        <v>2</v>
      </c>
      <c r="J15" s="15">
        <v>2</v>
      </c>
      <c r="K15" s="15">
        <v>2</v>
      </c>
      <c r="L15" s="15">
        <v>1</v>
      </c>
      <c r="M15" s="15">
        <f t="shared" si="0"/>
        <v>18</v>
      </c>
      <c r="N15" s="17">
        <f t="shared" si="1"/>
        <v>0.9</v>
      </c>
      <c r="O15" s="15" t="str">
        <f t="shared" si="2"/>
        <v>PASS</v>
      </c>
    </row>
    <row r="16" spans="1:15" ht="28" x14ac:dyDescent="0.2">
      <c r="A16" s="15" t="s">
        <v>53</v>
      </c>
      <c r="B16" s="16" t="s">
        <v>54</v>
      </c>
      <c r="C16" s="15">
        <v>2</v>
      </c>
      <c r="D16" s="15">
        <v>2</v>
      </c>
      <c r="E16" s="15">
        <v>2</v>
      </c>
      <c r="F16" s="15">
        <v>2</v>
      </c>
      <c r="G16" s="15">
        <v>2</v>
      </c>
      <c r="H16" s="15">
        <v>2</v>
      </c>
      <c r="I16" s="15">
        <v>1</v>
      </c>
      <c r="J16" s="15">
        <v>2</v>
      </c>
      <c r="K16" s="15">
        <v>2</v>
      </c>
      <c r="L16" s="15">
        <v>0</v>
      </c>
      <c r="M16" s="15">
        <f t="shared" si="0"/>
        <v>17</v>
      </c>
      <c r="N16" s="17">
        <f t="shared" si="1"/>
        <v>0.85</v>
      </c>
      <c r="O16" s="15" t="str">
        <f t="shared" si="2"/>
        <v>PASS</v>
      </c>
    </row>
    <row r="17" spans="1:15" ht="28" x14ac:dyDescent="0.2">
      <c r="A17" s="15" t="s">
        <v>55</v>
      </c>
      <c r="B17" s="16" t="s">
        <v>56</v>
      </c>
      <c r="C17" s="15">
        <v>2</v>
      </c>
      <c r="D17" s="15">
        <v>2</v>
      </c>
      <c r="E17" s="15">
        <v>1</v>
      </c>
      <c r="F17" s="15">
        <v>2</v>
      </c>
      <c r="G17" s="15">
        <v>2</v>
      </c>
      <c r="H17" s="15">
        <v>2</v>
      </c>
      <c r="I17" s="15">
        <v>2</v>
      </c>
      <c r="J17" s="15">
        <v>1</v>
      </c>
      <c r="K17" s="15">
        <v>2</v>
      </c>
      <c r="L17" s="15">
        <v>2</v>
      </c>
      <c r="M17" s="15">
        <f t="shared" si="0"/>
        <v>18</v>
      </c>
      <c r="N17" s="17">
        <f t="shared" si="1"/>
        <v>0.9</v>
      </c>
      <c r="O17" s="15" t="str">
        <f t="shared" si="2"/>
        <v>PASS</v>
      </c>
    </row>
    <row r="18" spans="1:15" ht="28" x14ac:dyDescent="0.2">
      <c r="A18" s="15" t="s">
        <v>57</v>
      </c>
      <c r="B18" s="16" t="s">
        <v>58</v>
      </c>
      <c r="C18" s="15">
        <v>1</v>
      </c>
      <c r="D18" s="15">
        <v>2</v>
      </c>
      <c r="E18" s="15">
        <v>1</v>
      </c>
      <c r="F18" s="15">
        <v>2</v>
      </c>
      <c r="G18" s="15">
        <v>1</v>
      </c>
      <c r="H18" s="15">
        <v>2</v>
      </c>
      <c r="I18" s="15">
        <v>2</v>
      </c>
      <c r="J18" s="15">
        <v>2</v>
      </c>
      <c r="K18" s="15">
        <v>2</v>
      </c>
      <c r="L18" s="15">
        <v>0</v>
      </c>
      <c r="M18" s="15">
        <f t="shared" si="0"/>
        <v>15</v>
      </c>
      <c r="N18" s="17">
        <f t="shared" si="1"/>
        <v>0.75</v>
      </c>
      <c r="O18" s="15" t="str">
        <f t="shared" si="2"/>
        <v>PASS</v>
      </c>
    </row>
    <row r="19" spans="1:15" ht="42" x14ac:dyDescent="0.2">
      <c r="A19" s="15" t="s">
        <v>59</v>
      </c>
      <c r="B19" s="16" t="s">
        <v>60</v>
      </c>
      <c r="C19" s="15">
        <v>2</v>
      </c>
      <c r="D19" s="15">
        <v>2</v>
      </c>
      <c r="E19" s="15">
        <v>1</v>
      </c>
      <c r="F19" s="15">
        <v>2</v>
      </c>
      <c r="G19" s="15">
        <v>2</v>
      </c>
      <c r="H19" s="15">
        <v>2</v>
      </c>
      <c r="I19" s="15">
        <v>2</v>
      </c>
      <c r="J19" s="15">
        <v>2</v>
      </c>
      <c r="K19" s="15">
        <v>2</v>
      </c>
      <c r="L19" s="15">
        <v>0</v>
      </c>
      <c r="M19" s="15">
        <f t="shared" si="0"/>
        <v>17</v>
      </c>
      <c r="N19" s="17">
        <f t="shared" si="1"/>
        <v>0.85</v>
      </c>
      <c r="O19" s="15" t="str">
        <f t="shared" si="2"/>
        <v>PASS</v>
      </c>
    </row>
    <row r="20" spans="1:15" ht="28" x14ac:dyDescent="0.2">
      <c r="A20" s="15" t="s">
        <v>61</v>
      </c>
      <c r="B20" s="16" t="s">
        <v>62</v>
      </c>
      <c r="C20" s="15">
        <v>2</v>
      </c>
      <c r="D20" s="15">
        <v>2</v>
      </c>
      <c r="E20" s="15">
        <v>1</v>
      </c>
      <c r="F20" s="15">
        <v>1</v>
      </c>
      <c r="G20" s="15">
        <v>0</v>
      </c>
      <c r="H20" s="15">
        <v>2</v>
      </c>
      <c r="I20" s="15">
        <v>1</v>
      </c>
      <c r="J20" s="15">
        <v>1</v>
      </c>
      <c r="K20" s="15">
        <v>2</v>
      </c>
      <c r="L20" s="15">
        <v>0</v>
      </c>
      <c r="M20" s="15">
        <f t="shared" si="0"/>
        <v>12</v>
      </c>
      <c r="N20" s="17">
        <f t="shared" si="1"/>
        <v>0.6</v>
      </c>
      <c r="O20" s="15" t="str">
        <f t="shared" si="2"/>
        <v>FAIL</v>
      </c>
    </row>
    <row r="21" spans="1:15" ht="28" x14ac:dyDescent="0.2">
      <c r="A21" s="15" t="s">
        <v>63</v>
      </c>
      <c r="B21" s="16" t="s">
        <v>64</v>
      </c>
      <c r="C21" s="15">
        <v>2</v>
      </c>
      <c r="D21" s="15">
        <v>1</v>
      </c>
      <c r="E21" s="15">
        <v>1</v>
      </c>
      <c r="F21" s="15">
        <v>2</v>
      </c>
      <c r="G21" s="15">
        <v>2</v>
      </c>
      <c r="H21" s="15">
        <v>1</v>
      </c>
      <c r="I21" s="15">
        <v>2</v>
      </c>
      <c r="J21" s="15">
        <v>2</v>
      </c>
      <c r="K21" s="15">
        <v>1</v>
      </c>
      <c r="L21" s="15">
        <v>0</v>
      </c>
      <c r="M21" s="15">
        <f t="shared" si="0"/>
        <v>14</v>
      </c>
      <c r="N21" s="17">
        <f t="shared" si="1"/>
        <v>0.7</v>
      </c>
      <c r="O21" s="15" t="str">
        <f t="shared" si="2"/>
        <v>PASS</v>
      </c>
    </row>
    <row r="22" spans="1:15" ht="28" x14ac:dyDescent="0.2">
      <c r="A22" s="15" t="s">
        <v>65</v>
      </c>
      <c r="B22" s="16" t="s">
        <v>66</v>
      </c>
      <c r="C22" s="15">
        <v>2</v>
      </c>
      <c r="D22" s="15">
        <v>2</v>
      </c>
      <c r="E22" s="15">
        <v>1</v>
      </c>
      <c r="F22" s="15">
        <v>2</v>
      </c>
      <c r="G22" s="15">
        <v>1</v>
      </c>
      <c r="H22" s="15">
        <v>2</v>
      </c>
      <c r="I22" s="15">
        <v>2</v>
      </c>
      <c r="J22" s="15">
        <v>2</v>
      </c>
      <c r="K22" s="15">
        <v>2</v>
      </c>
      <c r="L22" s="15">
        <v>2</v>
      </c>
      <c r="M22" s="15">
        <f t="shared" si="0"/>
        <v>18</v>
      </c>
      <c r="N22" s="17">
        <f t="shared" si="1"/>
        <v>0.9</v>
      </c>
      <c r="O22" s="15" t="str">
        <f t="shared" si="2"/>
        <v>PASS</v>
      </c>
    </row>
    <row r="23" spans="1:15" ht="28" x14ac:dyDescent="0.2">
      <c r="A23" s="15" t="s">
        <v>67</v>
      </c>
      <c r="B23" s="16" t="s">
        <v>68</v>
      </c>
      <c r="C23" s="15">
        <v>2</v>
      </c>
      <c r="D23" s="15">
        <v>2</v>
      </c>
      <c r="E23" s="15">
        <v>1</v>
      </c>
      <c r="F23" s="15">
        <v>2</v>
      </c>
      <c r="G23" s="15">
        <v>2</v>
      </c>
      <c r="H23" s="15">
        <v>1</v>
      </c>
      <c r="I23" s="15">
        <v>1</v>
      </c>
      <c r="J23" s="15">
        <v>1</v>
      </c>
      <c r="K23" s="15">
        <v>2</v>
      </c>
      <c r="L23" s="15">
        <v>0</v>
      </c>
      <c r="M23" s="15">
        <f t="shared" si="0"/>
        <v>14</v>
      </c>
      <c r="N23" s="17">
        <f t="shared" si="1"/>
        <v>0.7</v>
      </c>
      <c r="O23" s="15" t="str">
        <f t="shared" si="2"/>
        <v>PASS</v>
      </c>
    </row>
    <row r="24" spans="1:15" ht="28" x14ac:dyDescent="0.2">
      <c r="A24" s="15" t="s">
        <v>69</v>
      </c>
      <c r="B24" s="16" t="s">
        <v>70</v>
      </c>
      <c r="C24" s="15">
        <v>2</v>
      </c>
      <c r="D24" s="15">
        <v>2</v>
      </c>
      <c r="E24" s="15">
        <v>2</v>
      </c>
      <c r="F24" s="15">
        <v>1</v>
      </c>
      <c r="G24" s="15">
        <v>2</v>
      </c>
      <c r="H24" s="15">
        <v>2</v>
      </c>
      <c r="I24" s="15">
        <v>2</v>
      </c>
      <c r="J24" s="15">
        <v>2</v>
      </c>
      <c r="K24" s="15">
        <v>2</v>
      </c>
      <c r="L24" s="15">
        <v>2</v>
      </c>
      <c r="M24" s="15">
        <f t="shared" si="0"/>
        <v>19</v>
      </c>
      <c r="N24" s="17">
        <f t="shared" si="1"/>
        <v>0.95</v>
      </c>
      <c r="O24" s="15" t="str">
        <f t="shared" si="2"/>
        <v>PASS</v>
      </c>
    </row>
    <row r="25" spans="1:15" ht="28" x14ac:dyDescent="0.2">
      <c r="A25" s="15" t="s">
        <v>71</v>
      </c>
      <c r="B25" s="16" t="s">
        <v>72</v>
      </c>
      <c r="C25" s="15">
        <v>2</v>
      </c>
      <c r="D25" s="15">
        <v>2</v>
      </c>
      <c r="E25" s="15">
        <v>1</v>
      </c>
      <c r="F25" s="15">
        <v>2</v>
      </c>
      <c r="G25" s="15">
        <v>2</v>
      </c>
      <c r="H25" s="15">
        <v>2</v>
      </c>
      <c r="I25" s="15">
        <v>2</v>
      </c>
      <c r="J25" s="15">
        <v>2</v>
      </c>
      <c r="K25" s="15">
        <v>2</v>
      </c>
      <c r="L25" s="15">
        <v>0</v>
      </c>
      <c r="M25" s="15">
        <f t="shared" si="0"/>
        <v>17</v>
      </c>
      <c r="N25" s="17">
        <f t="shared" si="1"/>
        <v>0.85</v>
      </c>
      <c r="O25" s="15" t="str">
        <f t="shared" si="2"/>
        <v>PASS</v>
      </c>
    </row>
    <row r="26" spans="1:15" ht="28" x14ac:dyDescent="0.2">
      <c r="A26" s="15" t="s">
        <v>73</v>
      </c>
      <c r="B26" s="16" t="s">
        <v>74</v>
      </c>
      <c r="C26" s="15">
        <v>2</v>
      </c>
      <c r="D26" s="15">
        <v>2</v>
      </c>
      <c r="E26" s="15">
        <v>1</v>
      </c>
      <c r="F26" s="15">
        <v>2</v>
      </c>
      <c r="G26" s="15">
        <v>2</v>
      </c>
      <c r="H26" s="15">
        <v>2</v>
      </c>
      <c r="I26" s="15">
        <v>2</v>
      </c>
      <c r="J26" s="15">
        <v>1</v>
      </c>
      <c r="K26" s="15">
        <v>2</v>
      </c>
      <c r="L26" s="15">
        <v>0</v>
      </c>
      <c r="M26" s="15">
        <f t="shared" si="0"/>
        <v>16</v>
      </c>
      <c r="N26" s="17">
        <f t="shared" si="1"/>
        <v>0.8</v>
      </c>
      <c r="O26" s="15" t="str">
        <f t="shared" si="2"/>
        <v>PASS</v>
      </c>
    </row>
    <row r="27" spans="1:15" ht="28" x14ac:dyDescent="0.2">
      <c r="A27" s="15" t="s">
        <v>75</v>
      </c>
      <c r="B27" s="16" t="s">
        <v>76</v>
      </c>
      <c r="C27" s="15">
        <v>1</v>
      </c>
      <c r="D27" s="15">
        <v>2</v>
      </c>
      <c r="E27" s="15">
        <v>1</v>
      </c>
      <c r="F27" s="15">
        <v>2</v>
      </c>
      <c r="G27" s="15">
        <v>1</v>
      </c>
      <c r="H27" s="15">
        <v>1</v>
      </c>
      <c r="I27" s="15">
        <v>1</v>
      </c>
      <c r="J27" s="15">
        <v>1</v>
      </c>
      <c r="K27" s="15">
        <v>1</v>
      </c>
      <c r="L27" s="15">
        <v>1</v>
      </c>
      <c r="M27" s="15">
        <f t="shared" si="0"/>
        <v>12</v>
      </c>
      <c r="N27" s="17">
        <f t="shared" si="1"/>
        <v>0.6</v>
      </c>
      <c r="O27" s="15" t="str">
        <f t="shared" si="2"/>
        <v>FAIL</v>
      </c>
    </row>
    <row r="28" spans="1:15" ht="28" x14ac:dyDescent="0.2">
      <c r="A28" s="15" t="s">
        <v>77</v>
      </c>
      <c r="B28" s="16" t="s">
        <v>78</v>
      </c>
      <c r="C28" s="15">
        <v>2</v>
      </c>
      <c r="D28" s="15">
        <v>2</v>
      </c>
      <c r="E28" s="15">
        <v>1</v>
      </c>
      <c r="F28" s="15">
        <v>2</v>
      </c>
      <c r="G28" s="15">
        <v>1</v>
      </c>
      <c r="H28" s="15">
        <v>2</v>
      </c>
      <c r="I28" s="15">
        <v>2</v>
      </c>
      <c r="J28" s="15">
        <v>2</v>
      </c>
      <c r="K28" s="15">
        <v>2</v>
      </c>
      <c r="L28" s="15">
        <v>1</v>
      </c>
      <c r="M28" s="15">
        <f t="shared" si="0"/>
        <v>17</v>
      </c>
      <c r="N28" s="17">
        <f t="shared" si="1"/>
        <v>0.85</v>
      </c>
      <c r="O28" s="15" t="str">
        <f t="shared" si="2"/>
        <v>PASS</v>
      </c>
    </row>
    <row r="29" spans="1:15" ht="28" x14ac:dyDescent="0.2">
      <c r="A29" s="15" t="s">
        <v>79</v>
      </c>
      <c r="B29" s="16" t="s">
        <v>80</v>
      </c>
      <c r="C29" s="15">
        <v>2</v>
      </c>
      <c r="D29" s="15">
        <v>1</v>
      </c>
      <c r="E29" s="15">
        <v>1</v>
      </c>
      <c r="F29" s="15">
        <v>2</v>
      </c>
      <c r="G29" s="15">
        <v>1</v>
      </c>
      <c r="H29" s="15">
        <v>2</v>
      </c>
      <c r="I29" s="15">
        <v>1</v>
      </c>
      <c r="J29" s="15">
        <v>1</v>
      </c>
      <c r="K29" s="15">
        <v>1</v>
      </c>
      <c r="L29" s="15">
        <v>2</v>
      </c>
      <c r="M29" s="15">
        <f t="shared" si="0"/>
        <v>14</v>
      </c>
      <c r="N29" s="17">
        <f t="shared" si="1"/>
        <v>0.7</v>
      </c>
      <c r="O29" s="15" t="str">
        <f t="shared" si="2"/>
        <v>PASS</v>
      </c>
    </row>
    <row r="30" spans="1:15" ht="28" x14ac:dyDescent="0.2">
      <c r="A30" s="15" t="s">
        <v>81</v>
      </c>
      <c r="B30" s="16" t="s">
        <v>82</v>
      </c>
      <c r="C30" s="15">
        <v>1</v>
      </c>
      <c r="D30" s="15">
        <v>2</v>
      </c>
      <c r="E30" s="15">
        <v>1</v>
      </c>
      <c r="F30" s="15">
        <v>2</v>
      </c>
      <c r="G30" s="15">
        <v>2</v>
      </c>
      <c r="H30" s="15">
        <v>2</v>
      </c>
      <c r="I30" s="15">
        <v>2</v>
      </c>
      <c r="J30" s="15">
        <v>2</v>
      </c>
      <c r="K30" s="15">
        <v>2</v>
      </c>
      <c r="L30" s="15">
        <v>1</v>
      </c>
      <c r="M30" s="15">
        <f t="shared" si="0"/>
        <v>17</v>
      </c>
      <c r="N30" s="17">
        <f t="shared" si="1"/>
        <v>0.85</v>
      </c>
      <c r="O30" s="15" t="str">
        <f t="shared" si="2"/>
        <v>PASS</v>
      </c>
    </row>
    <row r="31" spans="1:15" ht="28" x14ac:dyDescent="0.2">
      <c r="A31" s="15" t="s">
        <v>83</v>
      </c>
      <c r="B31" s="16" t="s">
        <v>84</v>
      </c>
      <c r="C31" s="15">
        <v>2</v>
      </c>
      <c r="D31" s="15">
        <v>2</v>
      </c>
      <c r="E31" s="15">
        <v>2</v>
      </c>
      <c r="F31" s="15">
        <v>2</v>
      </c>
      <c r="G31" s="15">
        <v>1</v>
      </c>
      <c r="H31" s="15">
        <v>2</v>
      </c>
      <c r="I31" s="15">
        <v>2</v>
      </c>
      <c r="J31" s="15">
        <v>2</v>
      </c>
      <c r="K31" s="15">
        <v>2</v>
      </c>
      <c r="L31" s="15">
        <v>1</v>
      </c>
      <c r="M31" s="15">
        <f t="shared" si="0"/>
        <v>18</v>
      </c>
      <c r="N31" s="17">
        <f t="shared" si="1"/>
        <v>0.9</v>
      </c>
      <c r="O31" s="15" t="str">
        <f t="shared" si="2"/>
        <v>PASS</v>
      </c>
    </row>
    <row r="32" spans="1:15" ht="28" x14ac:dyDescent="0.2">
      <c r="A32" s="15" t="s">
        <v>85</v>
      </c>
      <c r="B32" s="16" t="s">
        <v>86</v>
      </c>
      <c r="C32" s="15">
        <v>2</v>
      </c>
      <c r="D32" s="15">
        <v>1</v>
      </c>
      <c r="E32" s="15">
        <v>1</v>
      </c>
      <c r="F32" s="15">
        <v>1</v>
      </c>
      <c r="G32" s="15">
        <v>1</v>
      </c>
      <c r="H32" s="15">
        <v>1</v>
      </c>
      <c r="I32" s="15">
        <v>2</v>
      </c>
      <c r="J32" s="15">
        <v>1</v>
      </c>
      <c r="K32" s="15">
        <v>1</v>
      </c>
      <c r="L32" s="15">
        <v>0</v>
      </c>
      <c r="M32" s="15">
        <f t="shared" si="0"/>
        <v>11</v>
      </c>
      <c r="N32" s="17">
        <f t="shared" si="1"/>
        <v>0.55000000000000004</v>
      </c>
      <c r="O32" s="15" t="str">
        <f t="shared" si="2"/>
        <v>FAIL</v>
      </c>
    </row>
    <row r="33" spans="1:15" ht="28" x14ac:dyDescent="0.2">
      <c r="A33" s="15" t="s">
        <v>87</v>
      </c>
      <c r="B33" s="16" t="s">
        <v>88</v>
      </c>
      <c r="C33" s="15">
        <v>2</v>
      </c>
      <c r="D33" s="15">
        <v>2</v>
      </c>
      <c r="E33" s="15">
        <v>1</v>
      </c>
      <c r="F33" s="15">
        <v>2</v>
      </c>
      <c r="G33" s="15">
        <v>1</v>
      </c>
      <c r="H33" s="15">
        <v>1</v>
      </c>
      <c r="I33" s="15">
        <v>1</v>
      </c>
      <c r="J33" s="15">
        <v>1</v>
      </c>
      <c r="K33" s="15">
        <v>1</v>
      </c>
      <c r="L33" s="15">
        <v>0</v>
      </c>
      <c r="M33" s="15">
        <f t="shared" si="0"/>
        <v>12</v>
      </c>
      <c r="N33" s="17">
        <f t="shared" si="1"/>
        <v>0.6</v>
      </c>
      <c r="O33" s="15" t="str">
        <f t="shared" si="2"/>
        <v>FAIL</v>
      </c>
    </row>
    <row r="34" spans="1:15" ht="28" x14ac:dyDescent="0.2">
      <c r="A34" s="15" t="s">
        <v>89</v>
      </c>
      <c r="B34" s="16" t="s">
        <v>90</v>
      </c>
      <c r="C34" s="15">
        <v>2</v>
      </c>
      <c r="D34" s="15">
        <v>1</v>
      </c>
      <c r="E34" s="15">
        <v>1</v>
      </c>
      <c r="F34" s="15">
        <v>1</v>
      </c>
      <c r="G34" s="15">
        <v>2</v>
      </c>
      <c r="H34" s="15">
        <v>1</v>
      </c>
      <c r="I34" s="15">
        <v>2</v>
      </c>
      <c r="J34" s="15">
        <v>1</v>
      </c>
      <c r="K34" s="15">
        <v>0</v>
      </c>
      <c r="L34" s="15">
        <v>0</v>
      </c>
      <c r="M34" s="15">
        <f t="shared" si="0"/>
        <v>11</v>
      </c>
      <c r="N34" s="17">
        <f t="shared" si="1"/>
        <v>0.55000000000000004</v>
      </c>
      <c r="O34" s="15" t="str">
        <f t="shared" si="2"/>
        <v>FAIL</v>
      </c>
    </row>
    <row r="35" spans="1:15" ht="28" x14ac:dyDescent="0.2">
      <c r="A35" s="15" t="s">
        <v>91</v>
      </c>
      <c r="B35" s="16" t="s">
        <v>92</v>
      </c>
      <c r="C35" s="15">
        <v>2</v>
      </c>
      <c r="D35" s="15">
        <v>1</v>
      </c>
      <c r="E35" s="15">
        <v>1</v>
      </c>
      <c r="F35" s="15">
        <v>2</v>
      </c>
      <c r="G35" s="15">
        <v>1</v>
      </c>
      <c r="H35" s="15">
        <v>1</v>
      </c>
      <c r="I35" s="15">
        <v>1</v>
      </c>
      <c r="J35" s="15">
        <v>1</v>
      </c>
      <c r="K35" s="15">
        <v>2</v>
      </c>
      <c r="L35" s="15">
        <v>1</v>
      </c>
      <c r="M35" s="15">
        <f t="shared" si="0"/>
        <v>13</v>
      </c>
      <c r="N35" s="17">
        <f t="shared" si="1"/>
        <v>0.65</v>
      </c>
      <c r="O35" s="15" t="str">
        <f t="shared" si="2"/>
        <v>PASS</v>
      </c>
    </row>
    <row r="36" spans="1:15" ht="28" x14ac:dyDescent="0.2">
      <c r="A36" s="15" t="s">
        <v>93</v>
      </c>
      <c r="B36" s="16" t="s">
        <v>94</v>
      </c>
      <c r="C36" s="15">
        <v>2</v>
      </c>
      <c r="D36" s="15">
        <v>1</v>
      </c>
      <c r="E36" s="15">
        <v>1</v>
      </c>
      <c r="F36" s="15">
        <v>1</v>
      </c>
      <c r="G36" s="15">
        <v>1</v>
      </c>
      <c r="H36" s="15">
        <v>1</v>
      </c>
      <c r="I36" s="15">
        <v>2</v>
      </c>
      <c r="J36" s="15">
        <v>1</v>
      </c>
      <c r="K36" s="15">
        <v>1</v>
      </c>
      <c r="L36" s="15">
        <v>0</v>
      </c>
      <c r="M36" s="15">
        <f t="shared" si="0"/>
        <v>11</v>
      </c>
      <c r="N36" s="17">
        <f t="shared" si="1"/>
        <v>0.55000000000000004</v>
      </c>
      <c r="O36" s="15" t="str">
        <f t="shared" si="2"/>
        <v>FAIL</v>
      </c>
    </row>
    <row r="37" spans="1:15" ht="28" x14ac:dyDescent="0.2">
      <c r="A37" s="15" t="s">
        <v>95</v>
      </c>
      <c r="B37" s="16" t="s">
        <v>96</v>
      </c>
      <c r="C37" s="15">
        <v>2</v>
      </c>
      <c r="D37" s="15">
        <v>1</v>
      </c>
      <c r="E37" s="15">
        <v>1</v>
      </c>
      <c r="F37" s="15">
        <v>2</v>
      </c>
      <c r="G37" s="15">
        <v>1</v>
      </c>
      <c r="H37" s="15">
        <v>1</v>
      </c>
      <c r="I37" s="15">
        <v>2</v>
      </c>
      <c r="J37" s="15">
        <v>1</v>
      </c>
      <c r="K37" s="15">
        <v>1</v>
      </c>
      <c r="L37" s="15">
        <v>0</v>
      </c>
      <c r="M37" s="15">
        <f t="shared" si="0"/>
        <v>12</v>
      </c>
      <c r="N37" s="17">
        <f t="shared" si="1"/>
        <v>0.6</v>
      </c>
      <c r="O37" s="15" t="str">
        <f t="shared" si="2"/>
        <v>FAIL</v>
      </c>
    </row>
    <row r="38" spans="1:15" ht="42" x14ac:dyDescent="0.2">
      <c r="A38" s="15" t="s">
        <v>97</v>
      </c>
      <c r="B38" s="16" t="s">
        <v>98</v>
      </c>
      <c r="C38" s="15">
        <v>2</v>
      </c>
      <c r="D38" s="15">
        <v>1</v>
      </c>
      <c r="E38" s="15">
        <v>0</v>
      </c>
      <c r="F38" s="15">
        <v>1</v>
      </c>
      <c r="G38" s="15">
        <v>1</v>
      </c>
      <c r="H38" s="15">
        <v>1</v>
      </c>
      <c r="I38" s="15">
        <v>1</v>
      </c>
      <c r="J38" s="15">
        <v>0</v>
      </c>
      <c r="K38" s="15">
        <v>1</v>
      </c>
      <c r="L38" s="15">
        <v>0</v>
      </c>
      <c r="M38" s="15">
        <f t="shared" si="0"/>
        <v>8</v>
      </c>
      <c r="N38" s="17">
        <f t="shared" si="1"/>
        <v>0.4</v>
      </c>
      <c r="O38" s="15" t="str">
        <f t="shared" si="2"/>
        <v>FAIL</v>
      </c>
    </row>
    <row r="39" spans="1:15" ht="42" x14ac:dyDescent="0.2">
      <c r="A39" s="15" t="s">
        <v>99</v>
      </c>
      <c r="B39" s="16" t="s">
        <v>100</v>
      </c>
      <c r="C39" s="15">
        <v>2</v>
      </c>
      <c r="D39" s="15">
        <v>1</v>
      </c>
      <c r="E39" s="15">
        <v>1</v>
      </c>
      <c r="F39" s="15">
        <v>1</v>
      </c>
      <c r="G39" s="15">
        <v>0</v>
      </c>
      <c r="H39" s="15">
        <v>1</v>
      </c>
      <c r="I39" s="15">
        <v>1</v>
      </c>
      <c r="J39" s="15">
        <v>1</v>
      </c>
      <c r="K39" s="15">
        <v>2</v>
      </c>
      <c r="L39" s="15">
        <v>1</v>
      </c>
      <c r="M39" s="15">
        <f t="shared" si="0"/>
        <v>11</v>
      </c>
      <c r="N39" s="17">
        <f t="shared" si="1"/>
        <v>0.55000000000000004</v>
      </c>
      <c r="O39" s="15" t="str">
        <f t="shared" si="2"/>
        <v>FAIL</v>
      </c>
    </row>
    <row r="40" spans="1:15" ht="28" x14ac:dyDescent="0.2">
      <c r="A40" s="15" t="s">
        <v>101</v>
      </c>
      <c r="B40" s="16" t="s">
        <v>102</v>
      </c>
      <c r="C40" s="15">
        <v>2</v>
      </c>
      <c r="D40" s="15">
        <v>2</v>
      </c>
      <c r="E40" s="15">
        <v>1</v>
      </c>
      <c r="F40" s="15">
        <v>1</v>
      </c>
      <c r="G40" s="15">
        <v>0</v>
      </c>
      <c r="H40" s="15">
        <v>1</v>
      </c>
      <c r="I40" s="15">
        <v>1</v>
      </c>
      <c r="J40" s="15">
        <v>1</v>
      </c>
      <c r="K40" s="15">
        <v>1</v>
      </c>
      <c r="L40" s="15">
        <v>1</v>
      </c>
      <c r="M40" s="15">
        <f t="shared" si="0"/>
        <v>11</v>
      </c>
      <c r="N40" s="17">
        <f t="shared" si="1"/>
        <v>0.55000000000000004</v>
      </c>
      <c r="O40" s="15" t="str">
        <f t="shared" si="2"/>
        <v>FAIL</v>
      </c>
    </row>
    <row r="41" spans="1:15" ht="28" x14ac:dyDescent="0.2">
      <c r="A41" s="15" t="s">
        <v>103</v>
      </c>
      <c r="B41" s="16" t="s">
        <v>104</v>
      </c>
      <c r="C41" s="15">
        <v>2</v>
      </c>
      <c r="D41" s="15">
        <v>1</v>
      </c>
      <c r="E41" s="15">
        <v>1</v>
      </c>
      <c r="F41" s="15">
        <v>0</v>
      </c>
      <c r="G41" s="15">
        <v>0</v>
      </c>
      <c r="H41" s="15">
        <v>1</v>
      </c>
      <c r="I41" s="15">
        <v>1</v>
      </c>
      <c r="J41" s="15">
        <v>0</v>
      </c>
      <c r="K41" s="15">
        <v>1</v>
      </c>
      <c r="L41" s="15">
        <v>0</v>
      </c>
      <c r="M41" s="15">
        <f t="shared" si="0"/>
        <v>7</v>
      </c>
      <c r="N41" s="17">
        <f t="shared" si="1"/>
        <v>0.35</v>
      </c>
      <c r="O41" s="15" t="str">
        <f t="shared" si="2"/>
        <v>FAIL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1"/>
  <sheetViews>
    <sheetView topLeftCell="A4" workbookViewId="0">
      <selection activeCell="U14" sqref="U14"/>
    </sheetView>
  </sheetViews>
  <sheetFormatPr baseColWidth="10" defaultColWidth="8.83203125" defaultRowHeight="16" x14ac:dyDescent="0.2"/>
  <cols>
    <col min="1" max="1" width="10" customWidth="1"/>
    <col min="2" max="2" width="40" customWidth="1"/>
    <col min="3" max="15" width="12" customWidth="1"/>
  </cols>
  <sheetData>
    <row r="1" spans="1:15" ht="19" x14ac:dyDescent="0.2">
      <c r="A1" s="21" t="s">
        <v>0</v>
      </c>
      <c r="B1" s="22"/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</row>
    <row r="2" spans="1:15" ht="26" x14ac:dyDescent="0.2">
      <c r="A2" s="19" t="s">
        <v>14</v>
      </c>
      <c r="B2" s="19" t="s">
        <v>15</v>
      </c>
      <c r="C2" s="19" t="s">
        <v>16</v>
      </c>
      <c r="D2" s="19" t="s">
        <v>17</v>
      </c>
      <c r="E2" s="19" t="s">
        <v>18</v>
      </c>
      <c r="F2" s="19" t="s">
        <v>19</v>
      </c>
      <c r="G2" s="19" t="s">
        <v>20</v>
      </c>
      <c r="H2" s="19" t="s">
        <v>21</v>
      </c>
      <c r="I2" s="19" t="s">
        <v>22</v>
      </c>
      <c r="J2" s="19" t="s">
        <v>23</v>
      </c>
      <c r="K2" s="19" t="s">
        <v>24</v>
      </c>
      <c r="L2" s="19" t="s">
        <v>25</v>
      </c>
      <c r="M2" s="19" t="s">
        <v>26</v>
      </c>
      <c r="N2" s="19" t="s">
        <v>12</v>
      </c>
      <c r="O2" s="19" t="s">
        <v>13</v>
      </c>
    </row>
    <row r="3" spans="1:15" ht="28" x14ac:dyDescent="0.2">
      <c r="A3" s="15" t="s">
        <v>27</v>
      </c>
      <c r="B3" s="16" t="s">
        <v>28</v>
      </c>
      <c r="C3" s="15">
        <v>2</v>
      </c>
      <c r="D3" s="15">
        <v>2</v>
      </c>
      <c r="E3" s="15">
        <v>1</v>
      </c>
      <c r="F3" s="15">
        <v>1</v>
      </c>
      <c r="G3" s="15">
        <v>1</v>
      </c>
      <c r="H3" s="15">
        <v>2</v>
      </c>
      <c r="I3" s="15">
        <v>1</v>
      </c>
      <c r="J3" s="15">
        <v>2</v>
      </c>
      <c r="K3" s="15">
        <v>1</v>
      </c>
      <c r="L3" s="15">
        <v>1</v>
      </c>
      <c r="M3" s="15">
        <f t="shared" ref="M3:M41" si="0">SUM(C3:L3)</f>
        <v>14</v>
      </c>
      <c r="N3" s="17">
        <f t="shared" ref="N3:N41" si="1">IF(M3=0,0,M3/20)</f>
        <v>0.7</v>
      </c>
      <c r="O3" s="15" t="str">
        <f t="shared" ref="O3:O41" si="2">IF(N3=0,"",IF(N3&gt;=0.65,"PASS","FAIL"))</f>
        <v>PASS</v>
      </c>
    </row>
    <row r="4" spans="1:15" ht="42" x14ac:dyDescent="0.2">
      <c r="A4" s="15" t="s">
        <v>29</v>
      </c>
      <c r="B4" s="16" t="s">
        <v>30</v>
      </c>
      <c r="C4" s="15">
        <v>2</v>
      </c>
      <c r="D4" s="15">
        <v>2</v>
      </c>
      <c r="E4" s="15">
        <v>1</v>
      </c>
      <c r="F4" s="15">
        <v>2</v>
      </c>
      <c r="G4" s="15">
        <v>1</v>
      </c>
      <c r="H4" s="15">
        <v>2</v>
      </c>
      <c r="I4" s="15">
        <v>2</v>
      </c>
      <c r="J4" s="15">
        <v>1</v>
      </c>
      <c r="K4" s="15">
        <v>2</v>
      </c>
      <c r="L4" s="15">
        <v>1</v>
      </c>
      <c r="M4" s="15">
        <f t="shared" si="0"/>
        <v>16</v>
      </c>
      <c r="N4" s="17">
        <f t="shared" si="1"/>
        <v>0.8</v>
      </c>
      <c r="O4" s="15" t="str">
        <f t="shared" si="2"/>
        <v>PASS</v>
      </c>
    </row>
    <row r="5" spans="1:15" ht="28" x14ac:dyDescent="0.2">
      <c r="A5" s="15" t="s">
        <v>31</v>
      </c>
      <c r="B5" s="16" t="s">
        <v>32</v>
      </c>
      <c r="C5" s="15">
        <v>2</v>
      </c>
      <c r="D5" s="15">
        <v>2</v>
      </c>
      <c r="E5" s="15">
        <v>2</v>
      </c>
      <c r="F5" s="15">
        <v>1</v>
      </c>
      <c r="G5" s="15">
        <v>2</v>
      </c>
      <c r="H5" s="15">
        <v>2</v>
      </c>
      <c r="I5" s="15">
        <v>1</v>
      </c>
      <c r="J5" s="15">
        <v>2</v>
      </c>
      <c r="K5" s="15">
        <v>2</v>
      </c>
      <c r="L5" s="15">
        <v>0</v>
      </c>
      <c r="M5" s="15">
        <f t="shared" si="0"/>
        <v>16</v>
      </c>
      <c r="N5" s="17">
        <f t="shared" si="1"/>
        <v>0.8</v>
      </c>
      <c r="O5" s="15" t="str">
        <f t="shared" si="2"/>
        <v>PASS</v>
      </c>
    </row>
    <row r="6" spans="1:15" ht="28" x14ac:dyDescent="0.2">
      <c r="A6" s="15" t="s">
        <v>33</v>
      </c>
      <c r="B6" s="16" t="s">
        <v>34</v>
      </c>
      <c r="C6" s="15">
        <v>2</v>
      </c>
      <c r="D6" s="15">
        <v>2</v>
      </c>
      <c r="E6" s="15">
        <v>2</v>
      </c>
      <c r="F6" s="15">
        <v>2</v>
      </c>
      <c r="G6" s="15">
        <v>2</v>
      </c>
      <c r="H6" s="15">
        <v>2</v>
      </c>
      <c r="I6" s="15">
        <v>2</v>
      </c>
      <c r="J6" s="15">
        <v>2</v>
      </c>
      <c r="K6" s="15">
        <v>2</v>
      </c>
      <c r="L6" s="15">
        <v>1</v>
      </c>
      <c r="M6" s="15">
        <f t="shared" si="0"/>
        <v>19</v>
      </c>
      <c r="N6" s="17">
        <f t="shared" si="1"/>
        <v>0.95</v>
      </c>
      <c r="O6" s="15" t="str">
        <f t="shared" si="2"/>
        <v>PASS</v>
      </c>
    </row>
    <row r="7" spans="1:15" ht="28" x14ac:dyDescent="0.2">
      <c r="A7" s="15" t="s">
        <v>35</v>
      </c>
      <c r="B7" s="16" t="s">
        <v>36</v>
      </c>
      <c r="C7" s="15">
        <v>2</v>
      </c>
      <c r="D7" s="15">
        <v>2</v>
      </c>
      <c r="E7" s="15">
        <v>1</v>
      </c>
      <c r="F7" s="15">
        <v>2</v>
      </c>
      <c r="G7" s="15">
        <v>2</v>
      </c>
      <c r="H7" s="15">
        <v>2</v>
      </c>
      <c r="I7" s="15">
        <v>2</v>
      </c>
      <c r="J7" s="15">
        <v>2</v>
      </c>
      <c r="K7" s="15">
        <v>2</v>
      </c>
      <c r="L7" s="15">
        <v>2</v>
      </c>
      <c r="M7" s="15">
        <f t="shared" si="0"/>
        <v>19</v>
      </c>
      <c r="N7" s="17">
        <f t="shared" si="1"/>
        <v>0.95</v>
      </c>
      <c r="O7" s="15" t="str">
        <f t="shared" si="2"/>
        <v>PASS</v>
      </c>
    </row>
    <row r="8" spans="1:15" ht="28" x14ac:dyDescent="0.2">
      <c r="A8" s="15" t="s">
        <v>37</v>
      </c>
      <c r="B8" s="16" t="s">
        <v>38</v>
      </c>
      <c r="C8" s="15">
        <v>2</v>
      </c>
      <c r="D8" s="15">
        <v>1</v>
      </c>
      <c r="E8" s="15">
        <v>1</v>
      </c>
      <c r="F8" s="15">
        <v>2</v>
      </c>
      <c r="G8" s="15">
        <v>1</v>
      </c>
      <c r="H8" s="15">
        <v>1</v>
      </c>
      <c r="I8" s="15">
        <v>1</v>
      </c>
      <c r="J8" s="15">
        <v>1</v>
      </c>
      <c r="K8" s="15">
        <v>2</v>
      </c>
      <c r="L8" s="15">
        <v>2</v>
      </c>
      <c r="M8" s="15">
        <f t="shared" si="0"/>
        <v>14</v>
      </c>
      <c r="N8" s="17">
        <f t="shared" si="1"/>
        <v>0.7</v>
      </c>
      <c r="O8" s="15" t="str">
        <f t="shared" si="2"/>
        <v>PASS</v>
      </c>
    </row>
    <row r="9" spans="1:15" ht="28" x14ac:dyDescent="0.2">
      <c r="A9" s="15" t="s">
        <v>39</v>
      </c>
      <c r="B9" s="16" t="s">
        <v>40</v>
      </c>
      <c r="C9" s="15">
        <v>2</v>
      </c>
      <c r="D9" s="15">
        <v>2</v>
      </c>
      <c r="E9" s="15">
        <v>1</v>
      </c>
      <c r="F9" s="15">
        <v>1</v>
      </c>
      <c r="G9" s="15">
        <v>2</v>
      </c>
      <c r="H9" s="15">
        <v>2</v>
      </c>
      <c r="I9" s="15">
        <v>2</v>
      </c>
      <c r="J9" s="15">
        <v>2</v>
      </c>
      <c r="K9" s="15">
        <v>2</v>
      </c>
      <c r="L9" s="15">
        <v>0</v>
      </c>
      <c r="M9" s="15">
        <f t="shared" si="0"/>
        <v>16</v>
      </c>
      <c r="N9" s="17">
        <f t="shared" si="1"/>
        <v>0.8</v>
      </c>
      <c r="O9" s="15" t="str">
        <f t="shared" si="2"/>
        <v>PASS</v>
      </c>
    </row>
    <row r="10" spans="1:15" ht="28" x14ac:dyDescent="0.2">
      <c r="A10" s="15" t="s">
        <v>41</v>
      </c>
      <c r="B10" s="16" t="s">
        <v>42</v>
      </c>
      <c r="C10" s="15">
        <v>2</v>
      </c>
      <c r="D10" s="15">
        <v>2</v>
      </c>
      <c r="E10" s="15">
        <v>1</v>
      </c>
      <c r="F10" s="15">
        <v>2</v>
      </c>
      <c r="G10" s="15">
        <v>1</v>
      </c>
      <c r="H10" s="15">
        <v>1</v>
      </c>
      <c r="I10" s="15">
        <v>2</v>
      </c>
      <c r="J10" s="15">
        <v>2</v>
      </c>
      <c r="K10" s="15">
        <v>2</v>
      </c>
      <c r="L10" s="15">
        <v>1</v>
      </c>
      <c r="M10" s="15">
        <f t="shared" si="0"/>
        <v>16</v>
      </c>
      <c r="N10" s="17">
        <f t="shared" si="1"/>
        <v>0.8</v>
      </c>
      <c r="O10" s="15" t="str">
        <f t="shared" si="2"/>
        <v>PASS</v>
      </c>
    </row>
    <row r="11" spans="1:15" ht="28" x14ac:dyDescent="0.2">
      <c r="A11" s="15" t="s">
        <v>43</v>
      </c>
      <c r="B11" s="16" t="s">
        <v>44</v>
      </c>
      <c r="C11" s="15">
        <v>2</v>
      </c>
      <c r="D11" s="15">
        <v>2</v>
      </c>
      <c r="E11" s="15">
        <v>2</v>
      </c>
      <c r="F11" s="15">
        <v>2</v>
      </c>
      <c r="G11" s="15">
        <v>2</v>
      </c>
      <c r="H11" s="15">
        <v>2</v>
      </c>
      <c r="I11" s="15">
        <v>2</v>
      </c>
      <c r="J11" s="15">
        <v>2</v>
      </c>
      <c r="K11" s="15">
        <v>2</v>
      </c>
      <c r="L11" s="15">
        <v>2</v>
      </c>
      <c r="M11" s="15">
        <f t="shared" si="0"/>
        <v>20</v>
      </c>
      <c r="N11" s="17">
        <f t="shared" si="1"/>
        <v>1</v>
      </c>
      <c r="O11" s="15" t="str">
        <f t="shared" si="2"/>
        <v>PASS</v>
      </c>
    </row>
    <row r="12" spans="1:15" ht="28" x14ac:dyDescent="0.2">
      <c r="A12" s="15" t="s">
        <v>45</v>
      </c>
      <c r="B12" s="16" t="s">
        <v>46</v>
      </c>
      <c r="C12" s="15">
        <v>2</v>
      </c>
      <c r="D12" s="15">
        <v>2</v>
      </c>
      <c r="E12" s="15">
        <v>1</v>
      </c>
      <c r="F12" s="15">
        <v>2</v>
      </c>
      <c r="G12" s="15">
        <v>2</v>
      </c>
      <c r="H12" s="15">
        <v>2</v>
      </c>
      <c r="I12" s="15">
        <v>2</v>
      </c>
      <c r="J12" s="15">
        <v>1</v>
      </c>
      <c r="K12" s="15">
        <v>2</v>
      </c>
      <c r="L12" s="15">
        <v>1</v>
      </c>
      <c r="M12" s="15">
        <f t="shared" si="0"/>
        <v>17</v>
      </c>
      <c r="N12" s="17">
        <f t="shared" si="1"/>
        <v>0.85</v>
      </c>
      <c r="O12" s="15" t="str">
        <f t="shared" si="2"/>
        <v>PASS</v>
      </c>
    </row>
    <row r="13" spans="1:15" ht="28" x14ac:dyDescent="0.2">
      <c r="A13" s="15" t="s">
        <v>47</v>
      </c>
      <c r="B13" s="16" t="s">
        <v>48</v>
      </c>
      <c r="C13" s="15">
        <v>2</v>
      </c>
      <c r="D13" s="15">
        <v>2</v>
      </c>
      <c r="E13" s="15">
        <v>0</v>
      </c>
      <c r="F13" s="15">
        <v>1</v>
      </c>
      <c r="G13" s="15">
        <v>2</v>
      </c>
      <c r="H13" s="15">
        <v>2</v>
      </c>
      <c r="I13" s="15">
        <v>2</v>
      </c>
      <c r="J13" s="15">
        <v>1</v>
      </c>
      <c r="K13" s="15">
        <v>2</v>
      </c>
      <c r="L13" s="15">
        <v>0</v>
      </c>
      <c r="M13" s="15">
        <f t="shared" si="0"/>
        <v>14</v>
      </c>
      <c r="N13" s="17">
        <f t="shared" si="1"/>
        <v>0.7</v>
      </c>
      <c r="O13" s="15" t="str">
        <f t="shared" si="2"/>
        <v>PASS</v>
      </c>
    </row>
    <row r="14" spans="1:15" ht="28" x14ac:dyDescent="0.2">
      <c r="A14" s="15" t="s">
        <v>49</v>
      </c>
      <c r="B14" s="16" t="s">
        <v>50</v>
      </c>
      <c r="C14" s="15">
        <v>2</v>
      </c>
      <c r="D14" s="15">
        <v>2</v>
      </c>
      <c r="E14" s="15">
        <v>1</v>
      </c>
      <c r="F14" s="15">
        <v>2</v>
      </c>
      <c r="G14" s="15">
        <v>2</v>
      </c>
      <c r="H14" s="15">
        <v>2</v>
      </c>
      <c r="I14" s="15">
        <v>1</v>
      </c>
      <c r="J14" s="15">
        <v>1</v>
      </c>
      <c r="K14" s="15">
        <v>2</v>
      </c>
      <c r="L14" s="15">
        <v>0</v>
      </c>
      <c r="M14" s="15">
        <f t="shared" si="0"/>
        <v>15</v>
      </c>
      <c r="N14" s="17">
        <f t="shared" si="1"/>
        <v>0.75</v>
      </c>
      <c r="O14" s="15" t="str">
        <f t="shared" si="2"/>
        <v>PASS</v>
      </c>
    </row>
    <row r="15" spans="1:15" ht="28" x14ac:dyDescent="0.2">
      <c r="A15" s="15" t="s">
        <v>51</v>
      </c>
      <c r="B15" s="16" t="s">
        <v>52</v>
      </c>
      <c r="C15" s="15">
        <v>2</v>
      </c>
      <c r="D15" s="15">
        <v>2</v>
      </c>
      <c r="E15" s="15">
        <v>0</v>
      </c>
      <c r="F15" s="15">
        <v>2</v>
      </c>
      <c r="G15" s="15">
        <v>2</v>
      </c>
      <c r="H15" s="15">
        <v>2</v>
      </c>
      <c r="I15" s="15">
        <v>2</v>
      </c>
      <c r="J15" s="15">
        <v>2</v>
      </c>
      <c r="K15" s="15">
        <v>2</v>
      </c>
      <c r="L15" s="15">
        <v>0</v>
      </c>
      <c r="M15" s="15">
        <f t="shared" si="0"/>
        <v>16</v>
      </c>
      <c r="N15" s="17">
        <f t="shared" si="1"/>
        <v>0.8</v>
      </c>
      <c r="O15" s="15" t="str">
        <f t="shared" si="2"/>
        <v>PASS</v>
      </c>
    </row>
    <row r="16" spans="1:15" ht="28" x14ac:dyDescent="0.2">
      <c r="A16" s="15" t="s">
        <v>53</v>
      </c>
      <c r="B16" s="16" t="s">
        <v>54</v>
      </c>
      <c r="C16" s="15">
        <v>2</v>
      </c>
      <c r="D16" s="15">
        <v>2</v>
      </c>
      <c r="E16" s="15">
        <v>2</v>
      </c>
      <c r="F16" s="15">
        <v>2</v>
      </c>
      <c r="G16" s="15">
        <v>2</v>
      </c>
      <c r="H16" s="15">
        <v>1</v>
      </c>
      <c r="I16" s="15">
        <v>2</v>
      </c>
      <c r="J16" s="15">
        <v>2</v>
      </c>
      <c r="K16" s="15">
        <v>2</v>
      </c>
      <c r="L16" s="15">
        <v>0</v>
      </c>
      <c r="M16" s="15">
        <f t="shared" si="0"/>
        <v>17</v>
      </c>
      <c r="N16" s="17">
        <f t="shared" si="1"/>
        <v>0.85</v>
      </c>
      <c r="O16" s="15" t="str">
        <f t="shared" si="2"/>
        <v>PASS</v>
      </c>
    </row>
    <row r="17" spans="1:15" ht="28" x14ac:dyDescent="0.2">
      <c r="A17" s="15" t="s">
        <v>55</v>
      </c>
      <c r="B17" s="16" t="s">
        <v>56</v>
      </c>
      <c r="C17" s="15">
        <v>1</v>
      </c>
      <c r="D17" s="15">
        <v>2</v>
      </c>
      <c r="E17" s="15">
        <v>2</v>
      </c>
      <c r="F17" s="15">
        <v>2</v>
      </c>
      <c r="G17" s="15">
        <v>2</v>
      </c>
      <c r="H17" s="15">
        <v>2</v>
      </c>
      <c r="I17" s="15">
        <v>2</v>
      </c>
      <c r="J17" s="15">
        <v>1</v>
      </c>
      <c r="K17" s="15">
        <v>2</v>
      </c>
      <c r="L17" s="15">
        <v>2</v>
      </c>
      <c r="M17" s="15">
        <f t="shared" si="0"/>
        <v>18</v>
      </c>
      <c r="N17" s="17">
        <f t="shared" si="1"/>
        <v>0.9</v>
      </c>
      <c r="O17" s="15" t="str">
        <f t="shared" si="2"/>
        <v>PASS</v>
      </c>
    </row>
    <row r="18" spans="1:15" ht="28" x14ac:dyDescent="0.2">
      <c r="A18" s="15" t="s">
        <v>57</v>
      </c>
      <c r="B18" s="16" t="s">
        <v>58</v>
      </c>
      <c r="C18" s="15">
        <v>2</v>
      </c>
      <c r="D18" s="15">
        <v>2</v>
      </c>
      <c r="E18" s="15">
        <v>1</v>
      </c>
      <c r="F18" s="15">
        <v>2</v>
      </c>
      <c r="G18" s="15">
        <v>1</v>
      </c>
      <c r="H18" s="15">
        <v>2</v>
      </c>
      <c r="I18" s="15">
        <v>2</v>
      </c>
      <c r="J18" s="15">
        <v>2</v>
      </c>
      <c r="K18" s="15">
        <v>2</v>
      </c>
      <c r="L18" s="15">
        <v>0</v>
      </c>
      <c r="M18" s="15">
        <f t="shared" si="0"/>
        <v>16</v>
      </c>
      <c r="N18" s="17">
        <f t="shared" si="1"/>
        <v>0.8</v>
      </c>
      <c r="O18" s="15" t="str">
        <f t="shared" si="2"/>
        <v>PASS</v>
      </c>
    </row>
    <row r="19" spans="1:15" ht="42" x14ac:dyDescent="0.2">
      <c r="A19" s="15" t="s">
        <v>59</v>
      </c>
      <c r="B19" s="16" t="s">
        <v>60</v>
      </c>
      <c r="C19" s="15">
        <v>2</v>
      </c>
      <c r="D19" s="15">
        <v>1</v>
      </c>
      <c r="E19" s="15">
        <v>1</v>
      </c>
      <c r="F19" s="15">
        <v>2</v>
      </c>
      <c r="G19" s="15">
        <v>2</v>
      </c>
      <c r="H19" s="15">
        <v>2</v>
      </c>
      <c r="I19" s="15">
        <v>2</v>
      </c>
      <c r="J19" s="15">
        <v>2</v>
      </c>
      <c r="K19" s="15">
        <v>2</v>
      </c>
      <c r="L19" s="15">
        <v>0</v>
      </c>
      <c r="M19" s="15">
        <f t="shared" si="0"/>
        <v>16</v>
      </c>
      <c r="N19" s="17">
        <f t="shared" si="1"/>
        <v>0.8</v>
      </c>
      <c r="O19" s="15" t="str">
        <f t="shared" si="2"/>
        <v>PASS</v>
      </c>
    </row>
    <row r="20" spans="1:15" ht="28" x14ac:dyDescent="0.2">
      <c r="A20" s="15" t="s">
        <v>61</v>
      </c>
      <c r="B20" s="16" t="s">
        <v>62</v>
      </c>
      <c r="C20" s="15">
        <v>2</v>
      </c>
      <c r="D20" s="15">
        <v>2</v>
      </c>
      <c r="E20" s="15">
        <v>1</v>
      </c>
      <c r="F20" s="15">
        <v>2</v>
      </c>
      <c r="G20" s="15">
        <v>0</v>
      </c>
      <c r="H20" s="15">
        <v>2</v>
      </c>
      <c r="I20" s="15">
        <v>2</v>
      </c>
      <c r="J20" s="15">
        <v>1</v>
      </c>
      <c r="K20" s="15">
        <v>2</v>
      </c>
      <c r="L20" s="15">
        <v>0</v>
      </c>
      <c r="M20" s="15">
        <f t="shared" si="0"/>
        <v>14</v>
      </c>
      <c r="N20" s="17">
        <f t="shared" si="1"/>
        <v>0.7</v>
      </c>
      <c r="O20" s="15" t="str">
        <f t="shared" si="2"/>
        <v>PASS</v>
      </c>
    </row>
    <row r="21" spans="1:15" ht="28" x14ac:dyDescent="0.2">
      <c r="A21" s="15" t="s">
        <v>63</v>
      </c>
      <c r="B21" s="16" t="s">
        <v>64</v>
      </c>
      <c r="C21" s="15">
        <v>2</v>
      </c>
      <c r="D21" s="15">
        <v>2</v>
      </c>
      <c r="E21" s="15">
        <v>1</v>
      </c>
      <c r="F21" s="15">
        <v>2</v>
      </c>
      <c r="G21" s="15">
        <v>2</v>
      </c>
      <c r="H21" s="15">
        <v>1</v>
      </c>
      <c r="I21" s="15">
        <v>1</v>
      </c>
      <c r="J21" s="15">
        <v>2</v>
      </c>
      <c r="K21" s="15">
        <v>2</v>
      </c>
      <c r="L21" s="15">
        <v>0</v>
      </c>
      <c r="M21" s="15">
        <f t="shared" si="0"/>
        <v>15</v>
      </c>
      <c r="N21" s="17">
        <f t="shared" si="1"/>
        <v>0.75</v>
      </c>
      <c r="O21" s="15" t="str">
        <f t="shared" si="2"/>
        <v>PASS</v>
      </c>
    </row>
    <row r="22" spans="1:15" ht="28" x14ac:dyDescent="0.2">
      <c r="A22" s="15" t="s">
        <v>65</v>
      </c>
      <c r="B22" s="16" t="s">
        <v>66</v>
      </c>
      <c r="C22" s="15">
        <v>2</v>
      </c>
      <c r="D22" s="15">
        <v>2</v>
      </c>
      <c r="E22" s="15">
        <v>1</v>
      </c>
      <c r="F22" s="15">
        <v>2</v>
      </c>
      <c r="G22" s="15">
        <v>1</v>
      </c>
      <c r="H22" s="15">
        <v>2</v>
      </c>
      <c r="I22" s="15">
        <v>2</v>
      </c>
      <c r="J22" s="15">
        <v>2</v>
      </c>
      <c r="K22" s="15">
        <v>2</v>
      </c>
      <c r="L22" s="15">
        <v>2</v>
      </c>
      <c r="M22" s="15">
        <f t="shared" si="0"/>
        <v>18</v>
      </c>
      <c r="N22" s="17">
        <f t="shared" si="1"/>
        <v>0.9</v>
      </c>
      <c r="O22" s="15" t="str">
        <f t="shared" si="2"/>
        <v>PASS</v>
      </c>
    </row>
    <row r="23" spans="1:15" ht="28" x14ac:dyDescent="0.2">
      <c r="A23" s="15" t="s">
        <v>67</v>
      </c>
      <c r="B23" s="16" t="s">
        <v>68</v>
      </c>
      <c r="C23" s="15">
        <v>2</v>
      </c>
      <c r="D23" s="15">
        <v>2</v>
      </c>
      <c r="E23" s="15">
        <v>1</v>
      </c>
      <c r="F23" s="15">
        <v>2</v>
      </c>
      <c r="G23" s="15">
        <v>2</v>
      </c>
      <c r="H23" s="15">
        <v>1</v>
      </c>
      <c r="I23" s="15">
        <v>2</v>
      </c>
      <c r="J23" s="15">
        <v>1</v>
      </c>
      <c r="K23" s="15">
        <v>1</v>
      </c>
      <c r="L23" s="15">
        <v>1</v>
      </c>
      <c r="M23" s="15">
        <f t="shared" si="0"/>
        <v>15</v>
      </c>
      <c r="N23" s="17">
        <f t="shared" si="1"/>
        <v>0.75</v>
      </c>
      <c r="O23" s="15" t="str">
        <f t="shared" si="2"/>
        <v>PASS</v>
      </c>
    </row>
    <row r="24" spans="1:15" ht="28" x14ac:dyDescent="0.2">
      <c r="A24" s="15" t="s">
        <v>69</v>
      </c>
      <c r="B24" s="16" t="s">
        <v>70</v>
      </c>
      <c r="C24" s="15">
        <v>2</v>
      </c>
      <c r="D24" s="15">
        <v>2</v>
      </c>
      <c r="E24" s="15">
        <v>2</v>
      </c>
      <c r="F24" s="15">
        <v>2</v>
      </c>
      <c r="G24" s="15">
        <v>2</v>
      </c>
      <c r="H24" s="15">
        <v>1</v>
      </c>
      <c r="I24" s="15">
        <v>2</v>
      </c>
      <c r="J24" s="15">
        <v>2</v>
      </c>
      <c r="K24" s="15">
        <v>2</v>
      </c>
      <c r="L24" s="15">
        <v>2</v>
      </c>
      <c r="M24" s="15">
        <f t="shared" si="0"/>
        <v>19</v>
      </c>
      <c r="N24" s="17">
        <f t="shared" si="1"/>
        <v>0.95</v>
      </c>
      <c r="O24" s="15" t="str">
        <f t="shared" si="2"/>
        <v>PASS</v>
      </c>
    </row>
    <row r="25" spans="1:15" ht="28" x14ac:dyDescent="0.2">
      <c r="A25" s="15" t="s">
        <v>71</v>
      </c>
      <c r="B25" s="16" t="s">
        <v>72</v>
      </c>
      <c r="C25" s="15">
        <v>2</v>
      </c>
      <c r="D25" s="15">
        <v>2</v>
      </c>
      <c r="E25" s="15">
        <v>1</v>
      </c>
      <c r="F25" s="15">
        <v>2</v>
      </c>
      <c r="G25" s="15">
        <v>2</v>
      </c>
      <c r="H25" s="15">
        <v>2</v>
      </c>
      <c r="I25" s="15">
        <v>2</v>
      </c>
      <c r="J25" s="15">
        <v>2</v>
      </c>
      <c r="K25" s="15">
        <v>2</v>
      </c>
      <c r="L25" s="15">
        <v>0</v>
      </c>
      <c r="M25" s="15">
        <f t="shared" si="0"/>
        <v>17</v>
      </c>
      <c r="N25" s="17">
        <f t="shared" si="1"/>
        <v>0.85</v>
      </c>
      <c r="O25" s="15" t="str">
        <f t="shared" si="2"/>
        <v>PASS</v>
      </c>
    </row>
    <row r="26" spans="1:15" ht="28" x14ac:dyDescent="0.2">
      <c r="A26" s="15" t="s">
        <v>73</v>
      </c>
      <c r="B26" s="16" t="s">
        <v>74</v>
      </c>
      <c r="C26" s="15">
        <v>2</v>
      </c>
      <c r="D26" s="15">
        <v>1</v>
      </c>
      <c r="E26" s="15">
        <v>1</v>
      </c>
      <c r="F26" s="15">
        <v>2</v>
      </c>
      <c r="G26" s="15">
        <v>2</v>
      </c>
      <c r="H26" s="15">
        <v>2</v>
      </c>
      <c r="I26" s="15">
        <v>2</v>
      </c>
      <c r="J26" s="15">
        <v>1</v>
      </c>
      <c r="K26" s="15">
        <v>2</v>
      </c>
      <c r="L26" s="15">
        <v>0</v>
      </c>
      <c r="M26" s="15">
        <f t="shared" si="0"/>
        <v>15</v>
      </c>
      <c r="N26" s="17">
        <f t="shared" si="1"/>
        <v>0.75</v>
      </c>
      <c r="O26" s="15" t="str">
        <f t="shared" si="2"/>
        <v>PASS</v>
      </c>
    </row>
    <row r="27" spans="1:15" ht="28" x14ac:dyDescent="0.2">
      <c r="A27" s="15" t="s">
        <v>75</v>
      </c>
      <c r="B27" s="16" t="s">
        <v>76</v>
      </c>
      <c r="C27" s="15">
        <v>2</v>
      </c>
      <c r="D27" s="15">
        <v>2</v>
      </c>
      <c r="E27" s="15">
        <v>1</v>
      </c>
      <c r="F27" s="15">
        <v>2</v>
      </c>
      <c r="G27" s="15">
        <v>1</v>
      </c>
      <c r="H27" s="15">
        <v>1</v>
      </c>
      <c r="I27" s="15">
        <v>2</v>
      </c>
      <c r="J27" s="15">
        <v>1</v>
      </c>
      <c r="K27" s="15">
        <v>1</v>
      </c>
      <c r="L27" s="15">
        <v>1</v>
      </c>
      <c r="M27" s="15">
        <f t="shared" si="0"/>
        <v>14</v>
      </c>
      <c r="N27" s="17">
        <f t="shared" si="1"/>
        <v>0.7</v>
      </c>
      <c r="O27" s="15" t="str">
        <f t="shared" si="2"/>
        <v>PASS</v>
      </c>
    </row>
    <row r="28" spans="1:15" ht="28" x14ac:dyDescent="0.2">
      <c r="A28" s="15" t="s">
        <v>77</v>
      </c>
      <c r="B28" s="16" t="s">
        <v>78</v>
      </c>
      <c r="C28" s="15">
        <v>2</v>
      </c>
      <c r="D28" s="15">
        <v>2</v>
      </c>
      <c r="E28" s="15">
        <v>1</v>
      </c>
      <c r="F28" s="15">
        <v>2</v>
      </c>
      <c r="G28" s="15">
        <v>1</v>
      </c>
      <c r="H28" s="15">
        <v>1</v>
      </c>
      <c r="I28" s="15">
        <v>2</v>
      </c>
      <c r="J28" s="15">
        <v>2</v>
      </c>
      <c r="K28" s="15">
        <v>2</v>
      </c>
      <c r="L28" s="15">
        <v>1</v>
      </c>
      <c r="M28" s="15">
        <f t="shared" si="0"/>
        <v>16</v>
      </c>
      <c r="N28" s="17">
        <f t="shared" si="1"/>
        <v>0.8</v>
      </c>
      <c r="O28" s="15" t="str">
        <f t="shared" si="2"/>
        <v>PASS</v>
      </c>
    </row>
    <row r="29" spans="1:15" ht="28" x14ac:dyDescent="0.2">
      <c r="A29" s="15" t="s">
        <v>79</v>
      </c>
      <c r="B29" s="16" t="s">
        <v>80</v>
      </c>
      <c r="C29" s="15">
        <v>2</v>
      </c>
      <c r="D29" s="15">
        <v>2</v>
      </c>
      <c r="E29" s="15">
        <v>1</v>
      </c>
      <c r="F29" s="15">
        <v>2</v>
      </c>
      <c r="G29" s="15">
        <v>1</v>
      </c>
      <c r="H29" s="15">
        <v>1</v>
      </c>
      <c r="I29" s="15">
        <v>2</v>
      </c>
      <c r="J29" s="15">
        <v>1</v>
      </c>
      <c r="K29" s="15">
        <v>2</v>
      </c>
      <c r="L29" s="15">
        <v>2</v>
      </c>
      <c r="M29" s="15">
        <f t="shared" si="0"/>
        <v>16</v>
      </c>
      <c r="N29" s="17">
        <f t="shared" si="1"/>
        <v>0.8</v>
      </c>
      <c r="O29" s="15" t="str">
        <f t="shared" si="2"/>
        <v>PASS</v>
      </c>
    </row>
    <row r="30" spans="1:15" ht="28" x14ac:dyDescent="0.2">
      <c r="A30" s="15" t="s">
        <v>81</v>
      </c>
      <c r="B30" s="16" t="s">
        <v>82</v>
      </c>
      <c r="C30" s="15">
        <v>2</v>
      </c>
      <c r="D30" s="15">
        <v>2</v>
      </c>
      <c r="E30" s="15">
        <v>0</v>
      </c>
      <c r="F30" s="15">
        <v>2</v>
      </c>
      <c r="G30" s="15">
        <v>2</v>
      </c>
      <c r="H30" s="15">
        <v>2</v>
      </c>
      <c r="I30" s="15">
        <v>2</v>
      </c>
      <c r="J30" s="15">
        <v>2</v>
      </c>
      <c r="K30" s="15">
        <v>2</v>
      </c>
      <c r="L30" s="15">
        <v>0</v>
      </c>
      <c r="M30" s="15">
        <f t="shared" si="0"/>
        <v>16</v>
      </c>
      <c r="N30" s="17">
        <f t="shared" si="1"/>
        <v>0.8</v>
      </c>
      <c r="O30" s="15" t="str">
        <f t="shared" si="2"/>
        <v>PASS</v>
      </c>
    </row>
    <row r="31" spans="1:15" ht="28" x14ac:dyDescent="0.2">
      <c r="A31" s="15" t="s">
        <v>83</v>
      </c>
      <c r="B31" s="16" t="s">
        <v>84</v>
      </c>
      <c r="C31" s="15">
        <v>2</v>
      </c>
      <c r="D31" s="15">
        <v>2</v>
      </c>
      <c r="E31" s="15">
        <v>2</v>
      </c>
      <c r="F31" s="15">
        <v>2</v>
      </c>
      <c r="G31" s="15">
        <v>2</v>
      </c>
      <c r="H31" s="15">
        <v>2</v>
      </c>
      <c r="I31" s="15">
        <v>2</v>
      </c>
      <c r="J31" s="15">
        <v>2</v>
      </c>
      <c r="K31" s="15">
        <v>2</v>
      </c>
      <c r="L31" s="15">
        <v>1</v>
      </c>
      <c r="M31" s="15">
        <f t="shared" si="0"/>
        <v>19</v>
      </c>
      <c r="N31" s="17">
        <f t="shared" si="1"/>
        <v>0.95</v>
      </c>
      <c r="O31" s="15" t="str">
        <f t="shared" si="2"/>
        <v>PASS</v>
      </c>
    </row>
    <row r="32" spans="1:15" ht="28" x14ac:dyDescent="0.2">
      <c r="A32" s="15" t="s">
        <v>85</v>
      </c>
      <c r="B32" s="16" t="s">
        <v>86</v>
      </c>
      <c r="C32" s="15">
        <v>2</v>
      </c>
      <c r="D32" s="15">
        <v>1</v>
      </c>
      <c r="E32" s="15">
        <v>1</v>
      </c>
      <c r="F32" s="15">
        <v>1</v>
      </c>
      <c r="G32" s="15">
        <v>1</v>
      </c>
      <c r="H32" s="15">
        <v>1</v>
      </c>
      <c r="I32" s="15">
        <v>2</v>
      </c>
      <c r="J32" s="15">
        <v>1</v>
      </c>
      <c r="K32" s="15">
        <v>1</v>
      </c>
      <c r="L32" s="15">
        <v>0</v>
      </c>
      <c r="M32" s="15">
        <f t="shared" si="0"/>
        <v>11</v>
      </c>
      <c r="N32" s="17">
        <f t="shared" si="1"/>
        <v>0.55000000000000004</v>
      </c>
      <c r="O32" s="15" t="str">
        <f t="shared" si="2"/>
        <v>FAIL</v>
      </c>
    </row>
    <row r="33" spans="1:15" ht="28" x14ac:dyDescent="0.2">
      <c r="A33" s="15" t="s">
        <v>87</v>
      </c>
      <c r="B33" s="16" t="s">
        <v>88</v>
      </c>
      <c r="C33" s="15">
        <v>2</v>
      </c>
      <c r="D33" s="15">
        <v>2</v>
      </c>
      <c r="E33" s="15">
        <v>1</v>
      </c>
      <c r="F33" s="15">
        <v>2</v>
      </c>
      <c r="G33" s="15">
        <v>1</v>
      </c>
      <c r="H33" s="15">
        <v>1</v>
      </c>
      <c r="I33" s="15">
        <v>0</v>
      </c>
      <c r="J33" s="15">
        <v>1</v>
      </c>
      <c r="K33" s="15">
        <v>1</v>
      </c>
      <c r="L33" s="15">
        <v>0</v>
      </c>
      <c r="M33" s="15">
        <f t="shared" si="0"/>
        <v>11</v>
      </c>
      <c r="N33" s="17">
        <f t="shared" si="1"/>
        <v>0.55000000000000004</v>
      </c>
      <c r="O33" s="15" t="str">
        <f t="shared" si="2"/>
        <v>FAIL</v>
      </c>
    </row>
    <row r="34" spans="1:15" ht="28" x14ac:dyDescent="0.2">
      <c r="A34" s="15" t="s">
        <v>89</v>
      </c>
      <c r="B34" s="16" t="s">
        <v>90</v>
      </c>
      <c r="C34" s="15">
        <v>2</v>
      </c>
      <c r="D34" s="15">
        <v>1</v>
      </c>
      <c r="E34" s="15">
        <v>1</v>
      </c>
      <c r="F34" s="15">
        <v>1</v>
      </c>
      <c r="G34" s="15">
        <v>2</v>
      </c>
      <c r="H34" s="15">
        <v>1</v>
      </c>
      <c r="I34" s="15">
        <v>1</v>
      </c>
      <c r="J34" s="15">
        <v>1</v>
      </c>
      <c r="K34" s="15">
        <v>2</v>
      </c>
      <c r="L34" s="15">
        <v>0</v>
      </c>
      <c r="M34" s="15">
        <f t="shared" si="0"/>
        <v>12</v>
      </c>
      <c r="N34" s="17">
        <f t="shared" si="1"/>
        <v>0.6</v>
      </c>
      <c r="O34" s="15" t="str">
        <f t="shared" si="2"/>
        <v>FAIL</v>
      </c>
    </row>
    <row r="35" spans="1:15" ht="28" x14ac:dyDescent="0.2">
      <c r="A35" s="15" t="s">
        <v>91</v>
      </c>
      <c r="B35" s="16" t="s">
        <v>92</v>
      </c>
      <c r="C35" s="15">
        <v>2</v>
      </c>
      <c r="D35" s="15">
        <v>0</v>
      </c>
      <c r="E35" s="15">
        <v>1</v>
      </c>
      <c r="F35" s="15">
        <v>2</v>
      </c>
      <c r="G35" s="15">
        <v>1</v>
      </c>
      <c r="H35" s="15">
        <v>1</v>
      </c>
      <c r="I35" s="15">
        <v>1</v>
      </c>
      <c r="J35" s="15">
        <v>1</v>
      </c>
      <c r="K35" s="15">
        <v>2</v>
      </c>
      <c r="L35" s="15">
        <v>0</v>
      </c>
      <c r="M35" s="15">
        <f t="shared" si="0"/>
        <v>11</v>
      </c>
      <c r="N35" s="17">
        <f t="shared" si="1"/>
        <v>0.55000000000000004</v>
      </c>
      <c r="O35" s="15" t="str">
        <f t="shared" si="2"/>
        <v>FAIL</v>
      </c>
    </row>
    <row r="36" spans="1:15" ht="28" x14ac:dyDescent="0.2">
      <c r="A36" s="15" t="s">
        <v>93</v>
      </c>
      <c r="B36" s="16" t="s">
        <v>94</v>
      </c>
      <c r="C36" s="15">
        <v>2</v>
      </c>
      <c r="D36" s="15">
        <v>0</v>
      </c>
      <c r="E36" s="15">
        <v>1</v>
      </c>
      <c r="F36" s="15">
        <v>2</v>
      </c>
      <c r="G36" s="15">
        <v>2</v>
      </c>
      <c r="H36" s="15">
        <v>1</v>
      </c>
      <c r="I36" s="15">
        <v>1</v>
      </c>
      <c r="J36" s="15">
        <v>0</v>
      </c>
      <c r="K36" s="15">
        <v>1</v>
      </c>
      <c r="L36" s="15">
        <v>1</v>
      </c>
      <c r="M36" s="15">
        <f t="shared" si="0"/>
        <v>11</v>
      </c>
      <c r="N36" s="17">
        <f t="shared" si="1"/>
        <v>0.55000000000000004</v>
      </c>
      <c r="O36" s="15" t="str">
        <f t="shared" si="2"/>
        <v>FAIL</v>
      </c>
    </row>
    <row r="37" spans="1:15" ht="28" x14ac:dyDescent="0.2">
      <c r="A37" s="15" t="s">
        <v>95</v>
      </c>
      <c r="B37" s="16" t="s">
        <v>96</v>
      </c>
      <c r="C37" s="15">
        <v>2</v>
      </c>
      <c r="D37" s="15">
        <v>1</v>
      </c>
      <c r="E37" s="15">
        <v>1</v>
      </c>
      <c r="F37" s="15">
        <v>2</v>
      </c>
      <c r="G37" s="15">
        <v>1</v>
      </c>
      <c r="H37" s="15">
        <v>1</v>
      </c>
      <c r="I37" s="15">
        <v>2</v>
      </c>
      <c r="J37" s="15">
        <v>1</v>
      </c>
      <c r="K37" s="15">
        <v>1</v>
      </c>
      <c r="L37" s="15">
        <v>0</v>
      </c>
      <c r="M37" s="15">
        <f t="shared" si="0"/>
        <v>12</v>
      </c>
      <c r="N37" s="17">
        <f t="shared" si="1"/>
        <v>0.6</v>
      </c>
      <c r="O37" s="15" t="str">
        <f t="shared" si="2"/>
        <v>FAIL</v>
      </c>
    </row>
    <row r="38" spans="1:15" ht="42" x14ac:dyDescent="0.2">
      <c r="A38" s="15" t="s">
        <v>97</v>
      </c>
      <c r="B38" s="16" t="s">
        <v>98</v>
      </c>
      <c r="C38" s="15">
        <v>2</v>
      </c>
      <c r="D38" s="15">
        <v>2</v>
      </c>
      <c r="E38" s="15">
        <v>0</v>
      </c>
      <c r="F38" s="15">
        <v>2</v>
      </c>
      <c r="G38" s="15">
        <v>1</v>
      </c>
      <c r="H38" s="15">
        <v>1</v>
      </c>
      <c r="I38" s="15">
        <v>1</v>
      </c>
      <c r="J38" s="15">
        <v>0</v>
      </c>
      <c r="K38" s="15">
        <v>1</v>
      </c>
      <c r="L38" s="15">
        <v>0</v>
      </c>
      <c r="M38" s="15">
        <f t="shared" si="0"/>
        <v>10</v>
      </c>
      <c r="N38" s="17">
        <f t="shared" si="1"/>
        <v>0.5</v>
      </c>
      <c r="O38" s="15" t="str">
        <f t="shared" si="2"/>
        <v>FAIL</v>
      </c>
    </row>
    <row r="39" spans="1:15" ht="42" x14ac:dyDescent="0.2">
      <c r="A39" s="15" t="s">
        <v>99</v>
      </c>
      <c r="B39" s="16" t="s">
        <v>100</v>
      </c>
      <c r="C39" s="15">
        <v>2</v>
      </c>
      <c r="D39" s="15">
        <v>1</v>
      </c>
      <c r="E39" s="15">
        <v>0</v>
      </c>
      <c r="F39" s="15">
        <v>1</v>
      </c>
      <c r="G39" s="15">
        <v>0</v>
      </c>
      <c r="H39" s="15">
        <v>2</v>
      </c>
      <c r="I39" s="15">
        <v>1</v>
      </c>
      <c r="J39" s="15">
        <v>1</v>
      </c>
      <c r="K39" s="15">
        <v>1</v>
      </c>
      <c r="L39" s="15">
        <v>1</v>
      </c>
      <c r="M39" s="15">
        <f t="shared" si="0"/>
        <v>10</v>
      </c>
      <c r="N39" s="17">
        <f t="shared" si="1"/>
        <v>0.5</v>
      </c>
      <c r="O39" s="15" t="str">
        <f t="shared" si="2"/>
        <v>FAIL</v>
      </c>
    </row>
    <row r="40" spans="1:15" ht="28" x14ac:dyDescent="0.2">
      <c r="A40" s="15" t="s">
        <v>101</v>
      </c>
      <c r="B40" s="16" t="s">
        <v>102</v>
      </c>
      <c r="C40" s="15">
        <v>1</v>
      </c>
      <c r="D40" s="15">
        <v>2</v>
      </c>
      <c r="E40" s="15">
        <v>1</v>
      </c>
      <c r="F40" s="15">
        <v>1</v>
      </c>
      <c r="G40" s="15">
        <v>0</v>
      </c>
      <c r="H40" s="15">
        <v>1</v>
      </c>
      <c r="I40" s="15">
        <v>1</v>
      </c>
      <c r="J40" s="15">
        <v>1</v>
      </c>
      <c r="K40" s="15">
        <v>1</v>
      </c>
      <c r="L40" s="15">
        <v>1</v>
      </c>
      <c r="M40" s="15">
        <f t="shared" si="0"/>
        <v>10</v>
      </c>
      <c r="N40" s="17">
        <f t="shared" si="1"/>
        <v>0.5</v>
      </c>
      <c r="O40" s="15" t="str">
        <f t="shared" si="2"/>
        <v>FAIL</v>
      </c>
    </row>
    <row r="41" spans="1:15" ht="28" x14ac:dyDescent="0.2">
      <c r="A41" s="15" t="s">
        <v>103</v>
      </c>
      <c r="B41" s="16" t="s">
        <v>104</v>
      </c>
      <c r="C41" s="15">
        <v>2</v>
      </c>
      <c r="D41" s="15">
        <v>1</v>
      </c>
      <c r="E41" s="15">
        <v>1</v>
      </c>
      <c r="F41" s="15">
        <v>0</v>
      </c>
      <c r="G41" s="15">
        <v>0</v>
      </c>
      <c r="H41" s="15">
        <v>1</v>
      </c>
      <c r="I41" s="15">
        <v>0</v>
      </c>
      <c r="J41" s="15">
        <v>0</v>
      </c>
      <c r="K41" s="15">
        <v>1</v>
      </c>
      <c r="L41" s="15">
        <v>0</v>
      </c>
      <c r="M41" s="15">
        <f t="shared" si="0"/>
        <v>6</v>
      </c>
      <c r="N41" s="17">
        <f t="shared" si="1"/>
        <v>0.3</v>
      </c>
      <c r="O41" s="15" t="str">
        <f t="shared" si="2"/>
        <v>FAIL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6"/>
  <sheetViews>
    <sheetView tabSelected="1" topLeftCell="A33" workbookViewId="0">
      <selection activeCell="D48" sqref="D48"/>
    </sheetView>
  </sheetViews>
  <sheetFormatPr baseColWidth="10" defaultRowHeight="16" x14ac:dyDescent="0.2"/>
  <cols>
    <col min="1" max="1" width="10.83203125" style="2" customWidth="1"/>
    <col min="2" max="2" width="15.1640625" style="2" customWidth="1"/>
    <col min="3" max="3" width="34.6640625" style="2" customWidth="1"/>
    <col min="4" max="4" width="22.83203125" style="2" customWidth="1"/>
    <col min="5" max="7" width="10.83203125" style="2" customWidth="1"/>
    <col min="8" max="8" width="37.83203125" style="2" customWidth="1"/>
    <col min="9" max="9" width="10.83203125" style="2" customWidth="1"/>
    <col min="10" max="16384" width="10.83203125" style="2"/>
  </cols>
  <sheetData>
    <row r="1" spans="1:21" ht="40" customHeight="1" x14ac:dyDescent="0.2">
      <c r="A1" s="23" t="s">
        <v>105</v>
      </c>
      <c r="B1" s="24"/>
      <c r="C1" s="24"/>
      <c r="D1" s="24"/>
      <c r="E1" s="24"/>
      <c r="F1" s="24"/>
      <c r="G1" s="24"/>
      <c r="H1" s="25"/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106</v>
      </c>
      <c r="U1" s="1" t="s">
        <v>107</v>
      </c>
    </row>
    <row r="2" spans="1:21" ht="42" customHeight="1" x14ac:dyDescent="0.2">
      <c r="A2" s="3" t="s">
        <v>14</v>
      </c>
      <c r="B2" s="3" t="s">
        <v>108</v>
      </c>
      <c r="C2" s="3" t="s">
        <v>15</v>
      </c>
      <c r="D2" s="3" t="s">
        <v>109</v>
      </c>
      <c r="E2" s="3" t="s">
        <v>110</v>
      </c>
      <c r="F2" s="3" t="s">
        <v>111</v>
      </c>
      <c r="G2" s="3" t="s">
        <v>112</v>
      </c>
      <c r="H2" s="3" t="s">
        <v>113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4" t="s">
        <v>12</v>
      </c>
      <c r="U2" s="4" t="s">
        <v>13</v>
      </c>
    </row>
    <row r="3" spans="1:21" ht="51" customHeight="1" x14ac:dyDescent="0.2">
      <c r="A3" s="5" t="s">
        <v>27</v>
      </c>
      <c r="B3" s="6">
        <v>45876</v>
      </c>
      <c r="C3" s="5" t="s">
        <v>28</v>
      </c>
      <c r="D3" s="5" t="s">
        <v>114</v>
      </c>
      <c r="E3" s="5" t="s">
        <v>115</v>
      </c>
      <c r="F3" s="5" t="s">
        <v>116</v>
      </c>
      <c r="G3" s="5" t="s">
        <v>117</v>
      </c>
      <c r="H3" s="5" t="s">
        <v>118</v>
      </c>
      <c r="I3" s="7">
        <v>2</v>
      </c>
      <c r="J3" s="7">
        <v>2</v>
      </c>
      <c r="K3" s="7">
        <v>1</v>
      </c>
      <c r="L3" s="7">
        <v>1</v>
      </c>
      <c r="M3" s="7">
        <v>1</v>
      </c>
      <c r="N3" s="7">
        <v>2</v>
      </c>
      <c r="O3" s="7">
        <v>1</v>
      </c>
      <c r="P3" s="7">
        <v>2</v>
      </c>
      <c r="Q3" s="7">
        <v>1</v>
      </c>
      <c r="R3" s="7">
        <v>1</v>
      </c>
      <c r="S3" s="8">
        <f t="shared" ref="S3:S41" si="0">SUM(I3:R3)</f>
        <v>14</v>
      </c>
      <c r="T3" s="9">
        <f t="shared" ref="T3:T41" si="1">IF(S3=0,0,S3/20)</f>
        <v>0.7</v>
      </c>
      <c r="U3" s="8" t="str">
        <f t="shared" ref="U3:U41" si="2">IF(T3=0,"",IF(T3&gt;=0.65,"PASS","FAIL"))</f>
        <v>PASS</v>
      </c>
    </row>
    <row r="4" spans="1:21" ht="51" customHeight="1" x14ac:dyDescent="0.2">
      <c r="A4" s="5" t="s">
        <v>29</v>
      </c>
      <c r="B4" s="6">
        <v>45778</v>
      </c>
      <c r="C4" s="5" t="s">
        <v>30</v>
      </c>
      <c r="D4" s="5" t="s">
        <v>119</v>
      </c>
      <c r="E4" s="5" t="s">
        <v>115</v>
      </c>
      <c r="F4" s="5" t="s">
        <v>120</v>
      </c>
      <c r="G4" s="5" t="s">
        <v>117</v>
      </c>
      <c r="H4" s="5" t="s">
        <v>121</v>
      </c>
      <c r="I4" s="7">
        <v>2</v>
      </c>
      <c r="J4" s="7">
        <v>2</v>
      </c>
      <c r="K4" s="7">
        <v>1</v>
      </c>
      <c r="L4" s="7">
        <v>2</v>
      </c>
      <c r="M4" s="7">
        <v>1</v>
      </c>
      <c r="N4" s="7">
        <v>2</v>
      </c>
      <c r="O4" s="7">
        <v>2</v>
      </c>
      <c r="P4" s="7">
        <v>1</v>
      </c>
      <c r="Q4" s="7">
        <v>2</v>
      </c>
      <c r="R4" s="7">
        <v>1</v>
      </c>
      <c r="S4" s="8">
        <f t="shared" si="0"/>
        <v>16</v>
      </c>
      <c r="T4" s="9">
        <f t="shared" si="1"/>
        <v>0.8</v>
      </c>
      <c r="U4" s="8" t="str">
        <f t="shared" si="2"/>
        <v>PASS</v>
      </c>
    </row>
    <row r="5" spans="1:21" ht="68" customHeight="1" x14ac:dyDescent="0.2">
      <c r="A5" s="5" t="s">
        <v>31</v>
      </c>
      <c r="B5" s="6">
        <v>45798</v>
      </c>
      <c r="C5" s="5" t="s">
        <v>32</v>
      </c>
      <c r="D5" s="5" t="s">
        <v>122</v>
      </c>
      <c r="E5" s="5" t="s">
        <v>123</v>
      </c>
      <c r="F5" s="5" t="s">
        <v>124</v>
      </c>
      <c r="G5" s="5" t="s">
        <v>117</v>
      </c>
      <c r="H5" s="5" t="s">
        <v>125</v>
      </c>
      <c r="I5" s="7">
        <v>2</v>
      </c>
      <c r="J5" s="7">
        <v>2</v>
      </c>
      <c r="K5" s="7">
        <v>2</v>
      </c>
      <c r="L5" s="7">
        <v>2</v>
      </c>
      <c r="M5" s="7">
        <v>2</v>
      </c>
      <c r="N5" s="7">
        <v>2</v>
      </c>
      <c r="O5" s="7">
        <v>2</v>
      </c>
      <c r="P5" s="7">
        <v>2</v>
      </c>
      <c r="Q5" s="7">
        <v>2</v>
      </c>
      <c r="R5" s="7">
        <v>0</v>
      </c>
      <c r="S5" s="8">
        <f t="shared" si="0"/>
        <v>18</v>
      </c>
      <c r="T5" s="9">
        <f t="shared" si="1"/>
        <v>0.9</v>
      </c>
      <c r="U5" s="8" t="str">
        <f t="shared" si="2"/>
        <v>PASS</v>
      </c>
    </row>
    <row r="6" spans="1:21" ht="51" customHeight="1" x14ac:dyDescent="0.2">
      <c r="A6" s="5" t="s">
        <v>33</v>
      </c>
      <c r="B6" s="6">
        <v>45679</v>
      </c>
      <c r="C6" s="5" t="s">
        <v>34</v>
      </c>
      <c r="D6" s="5" t="s">
        <v>126</v>
      </c>
      <c r="E6" s="5" t="s">
        <v>127</v>
      </c>
      <c r="F6" s="5" t="s">
        <v>128</v>
      </c>
      <c r="G6" s="5" t="s">
        <v>117</v>
      </c>
      <c r="H6" s="5" t="s">
        <v>129</v>
      </c>
      <c r="I6" s="7">
        <v>2</v>
      </c>
      <c r="J6" s="7">
        <v>2</v>
      </c>
      <c r="K6" s="7">
        <v>2</v>
      </c>
      <c r="L6" s="7">
        <v>2</v>
      </c>
      <c r="M6" s="7">
        <v>2</v>
      </c>
      <c r="N6" s="7">
        <v>2</v>
      </c>
      <c r="O6" s="7">
        <v>2</v>
      </c>
      <c r="P6" s="7">
        <v>2</v>
      </c>
      <c r="Q6" s="7">
        <v>2</v>
      </c>
      <c r="R6" s="7">
        <v>1</v>
      </c>
      <c r="S6" s="8">
        <f t="shared" si="0"/>
        <v>19</v>
      </c>
      <c r="T6" s="9">
        <f t="shared" si="1"/>
        <v>0.95</v>
      </c>
      <c r="U6" s="8" t="str">
        <f t="shared" si="2"/>
        <v>PASS</v>
      </c>
    </row>
    <row r="7" spans="1:21" ht="51" customHeight="1" x14ac:dyDescent="0.2">
      <c r="A7" s="5" t="s">
        <v>35</v>
      </c>
      <c r="B7" s="6">
        <v>45404</v>
      </c>
      <c r="C7" s="5" t="s">
        <v>36</v>
      </c>
      <c r="D7" s="5" t="s">
        <v>130</v>
      </c>
      <c r="E7" s="5" t="s">
        <v>115</v>
      </c>
      <c r="F7" s="5" t="s">
        <v>131</v>
      </c>
      <c r="G7" s="5" t="s">
        <v>117</v>
      </c>
      <c r="H7" s="5" t="s">
        <v>132</v>
      </c>
      <c r="I7" s="7">
        <v>2</v>
      </c>
      <c r="J7" s="7">
        <v>2</v>
      </c>
      <c r="K7" s="7">
        <v>1</v>
      </c>
      <c r="L7" s="7">
        <v>2</v>
      </c>
      <c r="M7" s="7">
        <v>2</v>
      </c>
      <c r="N7" s="7">
        <v>2</v>
      </c>
      <c r="O7" s="7">
        <v>2</v>
      </c>
      <c r="P7" s="7">
        <v>2</v>
      </c>
      <c r="Q7" s="7">
        <v>2</v>
      </c>
      <c r="R7" s="7">
        <v>2</v>
      </c>
      <c r="S7" s="8">
        <f t="shared" si="0"/>
        <v>19</v>
      </c>
      <c r="T7" s="9">
        <f t="shared" si="1"/>
        <v>0.95</v>
      </c>
      <c r="U7" s="8" t="str">
        <f t="shared" si="2"/>
        <v>PASS</v>
      </c>
    </row>
    <row r="8" spans="1:21" ht="68" customHeight="1" x14ac:dyDescent="0.2">
      <c r="A8" s="5" t="s">
        <v>37</v>
      </c>
      <c r="B8" s="6">
        <v>45545</v>
      </c>
      <c r="C8" s="5" t="s">
        <v>38</v>
      </c>
      <c r="D8" s="5" t="s">
        <v>133</v>
      </c>
      <c r="E8" s="5" t="s">
        <v>123</v>
      </c>
      <c r="F8" s="5" t="s">
        <v>134</v>
      </c>
      <c r="G8" s="5" t="s">
        <v>135</v>
      </c>
      <c r="H8" s="5" t="s">
        <v>136</v>
      </c>
      <c r="I8" s="7">
        <v>2</v>
      </c>
      <c r="J8" s="7">
        <v>1</v>
      </c>
      <c r="K8" s="7">
        <v>1</v>
      </c>
      <c r="L8" s="7">
        <v>2</v>
      </c>
      <c r="M8" s="7">
        <v>1</v>
      </c>
      <c r="N8" s="7">
        <v>1</v>
      </c>
      <c r="O8" s="7">
        <v>1</v>
      </c>
      <c r="P8" s="7">
        <v>1</v>
      </c>
      <c r="Q8" s="7">
        <v>2</v>
      </c>
      <c r="R8" s="7">
        <v>2</v>
      </c>
      <c r="S8" s="8">
        <f t="shared" si="0"/>
        <v>14</v>
      </c>
      <c r="T8" s="9">
        <f t="shared" si="1"/>
        <v>0.7</v>
      </c>
      <c r="U8" s="8" t="str">
        <f t="shared" si="2"/>
        <v>PASS</v>
      </c>
    </row>
    <row r="9" spans="1:21" ht="80" customHeight="1" x14ac:dyDescent="0.2">
      <c r="A9" s="5" t="s">
        <v>39</v>
      </c>
      <c r="B9" s="6">
        <v>45947</v>
      </c>
      <c r="C9" s="5" t="s">
        <v>40</v>
      </c>
      <c r="D9" s="5" t="s">
        <v>137</v>
      </c>
      <c r="E9" s="5" t="s">
        <v>115</v>
      </c>
      <c r="F9" s="5" t="s">
        <v>138</v>
      </c>
      <c r="G9" s="5" t="s">
        <v>117</v>
      </c>
      <c r="H9" s="5" t="s">
        <v>139</v>
      </c>
      <c r="I9" s="10">
        <v>2</v>
      </c>
      <c r="J9" s="10">
        <v>2</v>
      </c>
      <c r="K9" s="10">
        <v>1</v>
      </c>
      <c r="L9" s="10">
        <v>1</v>
      </c>
      <c r="M9" s="10">
        <v>2</v>
      </c>
      <c r="N9" s="10">
        <v>2</v>
      </c>
      <c r="O9" s="10">
        <v>2</v>
      </c>
      <c r="P9" s="10">
        <v>2</v>
      </c>
      <c r="Q9" s="10">
        <v>2</v>
      </c>
      <c r="R9" s="10">
        <v>1</v>
      </c>
      <c r="S9" s="8">
        <f t="shared" si="0"/>
        <v>17</v>
      </c>
      <c r="T9" s="9">
        <f t="shared" si="1"/>
        <v>0.85</v>
      </c>
      <c r="U9" s="8" t="str">
        <f t="shared" si="2"/>
        <v>PASS</v>
      </c>
    </row>
    <row r="10" spans="1:21" ht="81" customHeight="1" x14ac:dyDescent="0.2">
      <c r="A10" s="5" t="s">
        <v>41</v>
      </c>
      <c r="B10" s="6">
        <v>45802</v>
      </c>
      <c r="C10" s="5" t="s">
        <v>42</v>
      </c>
      <c r="D10" s="5" t="s">
        <v>140</v>
      </c>
      <c r="E10" s="5" t="s">
        <v>127</v>
      </c>
      <c r="F10" s="5" t="s">
        <v>141</v>
      </c>
      <c r="G10" s="5" t="s">
        <v>117</v>
      </c>
      <c r="H10" s="5" t="s">
        <v>142</v>
      </c>
      <c r="I10" s="10">
        <v>2</v>
      </c>
      <c r="J10" s="10">
        <v>2</v>
      </c>
      <c r="K10" s="10">
        <v>1</v>
      </c>
      <c r="L10" s="10">
        <v>2</v>
      </c>
      <c r="M10" s="10">
        <v>1</v>
      </c>
      <c r="N10" s="10">
        <v>1</v>
      </c>
      <c r="O10" s="10">
        <v>2</v>
      </c>
      <c r="P10" s="10">
        <v>2</v>
      </c>
      <c r="Q10" s="10">
        <v>2</v>
      </c>
      <c r="R10" s="10">
        <v>1</v>
      </c>
      <c r="S10" s="8">
        <f t="shared" si="0"/>
        <v>16</v>
      </c>
      <c r="T10" s="9">
        <f t="shared" si="1"/>
        <v>0.8</v>
      </c>
      <c r="U10" s="8" t="str">
        <f t="shared" si="2"/>
        <v>PASS</v>
      </c>
    </row>
    <row r="11" spans="1:21" ht="51" customHeight="1" x14ac:dyDescent="0.2">
      <c r="A11" s="5" t="s">
        <v>43</v>
      </c>
      <c r="B11" s="6">
        <v>45951</v>
      </c>
      <c r="C11" s="5" t="s">
        <v>44</v>
      </c>
      <c r="D11" s="5" t="s">
        <v>130</v>
      </c>
      <c r="E11" s="5" t="s">
        <v>115</v>
      </c>
      <c r="F11" s="5" t="s">
        <v>143</v>
      </c>
      <c r="G11" s="5" t="s">
        <v>117</v>
      </c>
      <c r="H11" s="5" t="s">
        <v>144</v>
      </c>
      <c r="I11" s="10">
        <v>2</v>
      </c>
      <c r="J11" s="10">
        <v>2</v>
      </c>
      <c r="K11" s="10">
        <v>2</v>
      </c>
      <c r="L11" s="10">
        <v>2</v>
      </c>
      <c r="M11" s="10">
        <v>2</v>
      </c>
      <c r="N11" s="10">
        <v>2</v>
      </c>
      <c r="O11" s="10">
        <v>2</v>
      </c>
      <c r="P11" s="10">
        <v>2</v>
      </c>
      <c r="Q11" s="10">
        <v>2</v>
      </c>
      <c r="R11" s="10">
        <v>2</v>
      </c>
      <c r="S11" s="8">
        <f t="shared" si="0"/>
        <v>20</v>
      </c>
      <c r="T11" s="9">
        <f t="shared" si="1"/>
        <v>1</v>
      </c>
      <c r="U11" s="8" t="str">
        <f t="shared" si="2"/>
        <v>PASS</v>
      </c>
    </row>
    <row r="12" spans="1:21" ht="51" customHeight="1" x14ac:dyDescent="0.2">
      <c r="A12" s="5" t="s">
        <v>45</v>
      </c>
      <c r="B12" s="6">
        <v>45659</v>
      </c>
      <c r="C12" s="5" t="s">
        <v>46</v>
      </c>
      <c r="D12" s="5" t="s">
        <v>145</v>
      </c>
      <c r="E12" s="5" t="s">
        <v>127</v>
      </c>
      <c r="F12" s="5" t="s">
        <v>146</v>
      </c>
      <c r="G12" s="5" t="s">
        <v>117</v>
      </c>
      <c r="H12" s="5" t="s">
        <v>147</v>
      </c>
      <c r="I12" s="10">
        <v>2</v>
      </c>
      <c r="J12" s="10">
        <v>2</v>
      </c>
      <c r="K12" s="10">
        <v>1</v>
      </c>
      <c r="L12" s="10">
        <v>2</v>
      </c>
      <c r="M12" s="10">
        <v>2</v>
      </c>
      <c r="N12" s="10">
        <v>2</v>
      </c>
      <c r="O12" s="10">
        <v>2</v>
      </c>
      <c r="P12" s="10">
        <v>1</v>
      </c>
      <c r="Q12" s="10">
        <v>2</v>
      </c>
      <c r="R12" s="10">
        <v>1</v>
      </c>
      <c r="S12" s="8">
        <f t="shared" si="0"/>
        <v>17</v>
      </c>
      <c r="T12" s="9">
        <f t="shared" si="1"/>
        <v>0.85</v>
      </c>
      <c r="U12" s="8" t="str">
        <f t="shared" si="2"/>
        <v>PASS</v>
      </c>
    </row>
    <row r="13" spans="1:21" ht="68" customHeight="1" x14ac:dyDescent="0.2">
      <c r="A13" s="5" t="s">
        <v>47</v>
      </c>
      <c r="B13" s="6">
        <v>45798</v>
      </c>
      <c r="C13" s="5" t="s">
        <v>48</v>
      </c>
      <c r="D13" s="5" t="s">
        <v>148</v>
      </c>
      <c r="E13" s="5" t="s">
        <v>127</v>
      </c>
      <c r="F13" s="5" t="s">
        <v>149</v>
      </c>
      <c r="G13" s="5" t="s">
        <v>117</v>
      </c>
      <c r="H13" s="5" t="s">
        <v>150</v>
      </c>
      <c r="I13" s="10">
        <v>2</v>
      </c>
      <c r="J13" s="10">
        <v>2</v>
      </c>
      <c r="K13" s="10">
        <v>1</v>
      </c>
      <c r="L13" s="10">
        <v>2</v>
      </c>
      <c r="M13" s="10">
        <v>1</v>
      </c>
      <c r="N13" s="10">
        <v>2</v>
      </c>
      <c r="O13" s="10">
        <v>2</v>
      </c>
      <c r="P13" s="10">
        <v>1</v>
      </c>
      <c r="Q13" s="10">
        <v>2</v>
      </c>
      <c r="R13" s="10">
        <v>0</v>
      </c>
      <c r="S13" s="8">
        <f t="shared" si="0"/>
        <v>15</v>
      </c>
      <c r="T13" s="9">
        <f t="shared" si="1"/>
        <v>0.75</v>
      </c>
      <c r="U13" s="8" t="str">
        <f t="shared" si="2"/>
        <v>PASS</v>
      </c>
    </row>
    <row r="14" spans="1:21" ht="51" customHeight="1" x14ac:dyDescent="0.2">
      <c r="A14" s="5" t="s">
        <v>49</v>
      </c>
      <c r="B14" s="6">
        <v>45786</v>
      </c>
      <c r="C14" s="5" t="s">
        <v>50</v>
      </c>
      <c r="D14" s="5" t="s">
        <v>151</v>
      </c>
      <c r="E14" s="5" t="s">
        <v>115</v>
      </c>
      <c r="F14" s="5" t="s">
        <v>152</v>
      </c>
      <c r="G14" s="5" t="s">
        <v>117</v>
      </c>
      <c r="H14" s="5" t="s">
        <v>153</v>
      </c>
      <c r="I14" s="10">
        <v>2</v>
      </c>
      <c r="J14" s="10">
        <v>2</v>
      </c>
      <c r="K14" s="10">
        <v>1</v>
      </c>
      <c r="L14" s="10">
        <v>2</v>
      </c>
      <c r="M14" s="10">
        <v>2</v>
      </c>
      <c r="N14" s="10">
        <v>2</v>
      </c>
      <c r="O14" s="10">
        <v>2</v>
      </c>
      <c r="P14" s="10">
        <v>1</v>
      </c>
      <c r="Q14" s="10">
        <v>2</v>
      </c>
      <c r="R14" s="10">
        <v>0</v>
      </c>
      <c r="S14" s="8">
        <f t="shared" si="0"/>
        <v>16</v>
      </c>
      <c r="T14" s="9">
        <f t="shared" si="1"/>
        <v>0.8</v>
      </c>
      <c r="U14" s="8" t="str">
        <f t="shared" si="2"/>
        <v>PASS</v>
      </c>
    </row>
    <row r="15" spans="1:21" ht="68" customHeight="1" x14ac:dyDescent="0.2">
      <c r="A15" s="5" t="s">
        <v>51</v>
      </c>
      <c r="B15" s="6">
        <v>45798</v>
      </c>
      <c r="C15" s="5" t="s">
        <v>52</v>
      </c>
      <c r="D15" s="5" t="s">
        <v>154</v>
      </c>
      <c r="E15" s="5" t="s">
        <v>127</v>
      </c>
      <c r="F15" s="5" t="s">
        <v>155</v>
      </c>
      <c r="G15" s="5" t="s">
        <v>117</v>
      </c>
      <c r="H15" s="5" t="s">
        <v>156</v>
      </c>
      <c r="I15" s="10">
        <v>2</v>
      </c>
      <c r="J15" s="10">
        <v>2</v>
      </c>
      <c r="K15" s="10">
        <v>1</v>
      </c>
      <c r="L15" s="10">
        <v>2</v>
      </c>
      <c r="M15" s="10">
        <v>2</v>
      </c>
      <c r="N15" s="10">
        <v>2</v>
      </c>
      <c r="O15" s="10">
        <v>2</v>
      </c>
      <c r="P15" s="10">
        <v>2</v>
      </c>
      <c r="Q15" s="10">
        <v>2</v>
      </c>
      <c r="R15" s="10">
        <v>0</v>
      </c>
      <c r="S15" s="8">
        <f t="shared" si="0"/>
        <v>17</v>
      </c>
      <c r="T15" s="9">
        <f t="shared" si="1"/>
        <v>0.85</v>
      </c>
      <c r="U15" s="8" t="str">
        <f t="shared" si="2"/>
        <v>PASS</v>
      </c>
    </row>
    <row r="16" spans="1:21" ht="68" customHeight="1" x14ac:dyDescent="0.2">
      <c r="A16" s="5" t="s">
        <v>53</v>
      </c>
      <c r="B16" s="6">
        <v>45798</v>
      </c>
      <c r="C16" s="5" t="s">
        <v>54</v>
      </c>
      <c r="D16" s="5" t="s">
        <v>154</v>
      </c>
      <c r="E16" s="5" t="s">
        <v>127</v>
      </c>
      <c r="F16" s="5" t="s">
        <v>157</v>
      </c>
      <c r="G16" s="5" t="s">
        <v>117</v>
      </c>
      <c r="H16" s="5" t="s">
        <v>158</v>
      </c>
      <c r="I16" s="10">
        <v>2</v>
      </c>
      <c r="J16" s="10">
        <v>2</v>
      </c>
      <c r="K16" s="10">
        <v>2</v>
      </c>
      <c r="L16" s="10">
        <v>2</v>
      </c>
      <c r="M16" s="10">
        <v>2</v>
      </c>
      <c r="N16" s="10">
        <v>2</v>
      </c>
      <c r="O16" s="10">
        <v>2</v>
      </c>
      <c r="P16" s="10">
        <v>2</v>
      </c>
      <c r="Q16" s="10">
        <v>2</v>
      </c>
      <c r="R16" s="10">
        <v>0</v>
      </c>
      <c r="S16" s="8">
        <f t="shared" si="0"/>
        <v>18</v>
      </c>
      <c r="T16" s="9">
        <f t="shared" si="1"/>
        <v>0.9</v>
      </c>
      <c r="U16" s="8" t="str">
        <f t="shared" si="2"/>
        <v>PASS</v>
      </c>
    </row>
    <row r="17" spans="1:21" ht="68" customHeight="1" x14ac:dyDescent="0.2">
      <c r="A17" s="5" t="s">
        <v>55</v>
      </c>
      <c r="B17" s="6">
        <v>45260</v>
      </c>
      <c r="C17" s="5" t="s">
        <v>56</v>
      </c>
      <c r="D17" s="5" t="s">
        <v>159</v>
      </c>
      <c r="E17" s="5" t="s">
        <v>127</v>
      </c>
      <c r="F17" s="5" t="s">
        <v>160</v>
      </c>
      <c r="G17" s="5" t="s">
        <v>117</v>
      </c>
      <c r="H17" s="5" t="s">
        <v>161</v>
      </c>
      <c r="I17" s="10">
        <v>2</v>
      </c>
      <c r="J17" s="10">
        <v>2</v>
      </c>
      <c r="K17" s="10">
        <v>2</v>
      </c>
      <c r="L17" s="10">
        <v>2</v>
      </c>
      <c r="M17" s="10">
        <v>2</v>
      </c>
      <c r="N17" s="10">
        <v>2</v>
      </c>
      <c r="O17" s="10">
        <v>2</v>
      </c>
      <c r="P17" s="10">
        <v>1</v>
      </c>
      <c r="Q17" s="10">
        <v>2</v>
      </c>
      <c r="R17" s="10">
        <v>2</v>
      </c>
      <c r="S17" s="8">
        <f t="shared" si="0"/>
        <v>19</v>
      </c>
      <c r="T17" s="9">
        <f t="shared" si="1"/>
        <v>0.95</v>
      </c>
      <c r="U17" s="8" t="str">
        <f t="shared" si="2"/>
        <v>PASS</v>
      </c>
    </row>
    <row r="18" spans="1:21" ht="51" customHeight="1" x14ac:dyDescent="0.2">
      <c r="A18" s="5" t="s">
        <v>57</v>
      </c>
      <c r="B18" s="6">
        <v>45882</v>
      </c>
      <c r="C18" s="5" t="s">
        <v>58</v>
      </c>
      <c r="D18" s="5" t="s">
        <v>162</v>
      </c>
      <c r="E18" s="5" t="s">
        <v>127</v>
      </c>
      <c r="F18" s="5" t="s">
        <v>163</v>
      </c>
      <c r="G18" s="5" t="s">
        <v>117</v>
      </c>
      <c r="H18" s="5" t="s">
        <v>164</v>
      </c>
      <c r="I18" s="7">
        <v>2</v>
      </c>
      <c r="J18" s="7">
        <v>2</v>
      </c>
      <c r="K18" s="7">
        <v>1</v>
      </c>
      <c r="L18" s="7">
        <v>2</v>
      </c>
      <c r="M18" s="7">
        <v>1</v>
      </c>
      <c r="N18" s="7">
        <v>2</v>
      </c>
      <c r="O18" s="7">
        <v>2</v>
      </c>
      <c r="P18" s="7">
        <v>2</v>
      </c>
      <c r="Q18" s="7">
        <v>2</v>
      </c>
      <c r="R18" s="7">
        <v>0</v>
      </c>
      <c r="S18" s="8">
        <f t="shared" si="0"/>
        <v>16</v>
      </c>
      <c r="T18" s="9">
        <f t="shared" si="1"/>
        <v>0.8</v>
      </c>
      <c r="U18" s="8" t="str">
        <f t="shared" si="2"/>
        <v>PASS</v>
      </c>
    </row>
    <row r="19" spans="1:21" ht="68" customHeight="1" x14ac:dyDescent="0.2">
      <c r="A19" s="5" t="s">
        <v>59</v>
      </c>
      <c r="B19" s="6">
        <v>45939</v>
      </c>
      <c r="C19" s="5" t="s">
        <v>60</v>
      </c>
      <c r="D19" s="5" t="s">
        <v>165</v>
      </c>
      <c r="E19" s="5" t="s">
        <v>127</v>
      </c>
      <c r="F19" s="5" t="s">
        <v>166</v>
      </c>
      <c r="G19" s="5" t="s">
        <v>117</v>
      </c>
      <c r="H19" s="5" t="s">
        <v>167</v>
      </c>
      <c r="I19" s="10">
        <v>2</v>
      </c>
      <c r="J19" s="10">
        <v>2</v>
      </c>
      <c r="K19" s="10">
        <v>1</v>
      </c>
      <c r="L19" s="10">
        <v>2</v>
      </c>
      <c r="M19" s="10">
        <v>2</v>
      </c>
      <c r="N19" s="10">
        <v>2</v>
      </c>
      <c r="O19" s="10">
        <v>2</v>
      </c>
      <c r="P19" s="10">
        <v>2</v>
      </c>
      <c r="Q19" s="10">
        <v>2</v>
      </c>
      <c r="R19" s="10">
        <v>0</v>
      </c>
      <c r="S19" s="8">
        <f t="shared" si="0"/>
        <v>17</v>
      </c>
      <c r="T19" s="9">
        <f t="shared" si="1"/>
        <v>0.85</v>
      </c>
      <c r="U19" s="8" t="str">
        <f t="shared" si="2"/>
        <v>PASS</v>
      </c>
    </row>
    <row r="20" spans="1:21" ht="68" customHeight="1" x14ac:dyDescent="0.2">
      <c r="A20" s="5" t="s">
        <v>61</v>
      </c>
      <c r="B20" s="6">
        <v>45915</v>
      </c>
      <c r="C20" s="5" t="s">
        <v>62</v>
      </c>
      <c r="D20" s="5" t="s">
        <v>168</v>
      </c>
      <c r="E20" s="5" t="s">
        <v>127</v>
      </c>
      <c r="F20" s="5" t="s">
        <v>169</v>
      </c>
      <c r="G20" s="5" t="s">
        <v>117</v>
      </c>
      <c r="H20" s="5" t="s">
        <v>170</v>
      </c>
      <c r="I20" s="10">
        <v>2</v>
      </c>
      <c r="J20" s="10">
        <v>2</v>
      </c>
      <c r="K20" s="10">
        <v>1</v>
      </c>
      <c r="L20" s="10">
        <v>2</v>
      </c>
      <c r="M20" s="10">
        <v>0</v>
      </c>
      <c r="N20" s="10">
        <v>2</v>
      </c>
      <c r="O20" s="10">
        <v>2</v>
      </c>
      <c r="P20" s="10">
        <v>1</v>
      </c>
      <c r="Q20" s="10">
        <v>2</v>
      </c>
      <c r="R20" s="10">
        <v>0</v>
      </c>
      <c r="S20" s="8">
        <f t="shared" si="0"/>
        <v>14</v>
      </c>
      <c r="T20" s="9">
        <f t="shared" si="1"/>
        <v>0.7</v>
      </c>
      <c r="U20" s="8" t="str">
        <f t="shared" si="2"/>
        <v>PASS</v>
      </c>
    </row>
    <row r="21" spans="1:21" ht="51" customHeight="1" x14ac:dyDescent="0.2">
      <c r="A21" s="5" t="s">
        <v>63</v>
      </c>
      <c r="B21" s="6">
        <v>45882</v>
      </c>
      <c r="C21" s="5" t="s">
        <v>64</v>
      </c>
      <c r="D21" s="5" t="s">
        <v>162</v>
      </c>
      <c r="E21" s="5" t="s">
        <v>127</v>
      </c>
      <c r="F21" s="5" t="s">
        <v>171</v>
      </c>
      <c r="G21" s="5" t="s">
        <v>117</v>
      </c>
      <c r="H21" s="5" t="s">
        <v>172</v>
      </c>
      <c r="I21" s="10">
        <v>2</v>
      </c>
      <c r="J21" s="10">
        <v>2</v>
      </c>
      <c r="K21" s="10">
        <v>1</v>
      </c>
      <c r="L21" s="10">
        <v>2</v>
      </c>
      <c r="M21" s="10">
        <v>2</v>
      </c>
      <c r="N21" s="10">
        <v>1</v>
      </c>
      <c r="O21" s="10">
        <v>2</v>
      </c>
      <c r="P21" s="10">
        <v>2</v>
      </c>
      <c r="Q21" s="10">
        <v>2</v>
      </c>
      <c r="R21" s="10">
        <v>0</v>
      </c>
      <c r="S21" s="8">
        <f t="shared" si="0"/>
        <v>16</v>
      </c>
      <c r="T21" s="9">
        <f t="shared" si="1"/>
        <v>0.8</v>
      </c>
      <c r="U21" s="8" t="str">
        <f t="shared" si="2"/>
        <v>PASS</v>
      </c>
    </row>
    <row r="22" spans="1:21" ht="51" customHeight="1" x14ac:dyDescent="0.2">
      <c r="A22" s="5" t="s">
        <v>65</v>
      </c>
      <c r="B22" s="6">
        <v>45730</v>
      </c>
      <c r="C22" s="5" t="s">
        <v>66</v>
      </c>
      <c r="D22" s="5" t="s">
        <v>173</v>
      </c>
      <c r="E22" s="5" t="s">
        <v>127</v>
      </c>
      <c r="F22" s="5" t="s">
        <v>174</v>
      </c>
      <c r="G22" s="5" t="s">
        <v>117</v>
      </c>
      <c r="H22" s="5" t="s">
        <v>175</v>
      </c>
      <c r="I22" s="10">
        <v>2</v>
      </c>
      <c r="J22" s="10">
        <v>2</v>
      </c>
      <c r="K22" s="10">
        <v>1</v>
      </c>
      <c r="L22" s="10">
        <v>2</v>
      </c>
      <c r="M22" s="10">
        <v>1</v>
      </c>
      <c r="N22" s="10">
        <v>2</v>
      </c>
      <c r="O22" s="10">
        <v>2</v>
      </c>
      <c r="P22" s="10">
        <v>2</v>
      </c>
      <c r="Q22" s="10">
        <v>2</v>
      </c>
      <c r="R22" s="10">
        <v>2</v>
      </c>
      <c r="S22" s="8">
        <f t="shared" si="0"/>
        <v>18</v>
      </c>
      <c r="T22" s="9">
        <f t="shared" si="1"/>
        <v>0.9</v>
      </c>
      <c r="U22" s="8" t="str">
        <f t="shared" si="2"/>
        <v>PASS</v>
      </c>
    </row>
    <row r="23" spans="1:21" ht="51" customHeight="1" x14ac:dyDescent="0.2">
      <c r="A23" s="5" t="s">
        <v>67</v>
      </c>
      <c r="B23" s="6">
        <v>45882</v>
      </c>
      <c r="C23" s="5" t="s">
        <v>68</v>
      </c>
      <c r="D23" s="5" t="s">
        <v>162</v>
      </c>
      <c r="E23" s="5" t="s">
        <v>127</v>
      </c>
      <c r="F23" s="5" t="s">
        <v>176</v>
      </c>
      <c r="G23" s="5" t="s">
        <v>117</v>
      </c>
      <c r="H23" s="5" t="s">
        <v>177</v>
      </c>
      <c r="I23" s="10">
        <v>2</v>
      </c>
      <c r="J23" s="10">
        <v>2</v>
      </c>
      <c r="K23" s="10">
        <v>1</v>
      </c>
      <c r="L23" s="10">
        <v>2</v>
      </c>
      <c r="M23" s="10">
        <v>2</v>
      </c>
      <c r="N23" s="10">
        <v>1</v>
      </c>
      <c r="O23" s="10">
        <v>2</v>
      </c>
      <c r="P23" s="10">
        <v>1</v>
      </c>
      <c r="Q23" s="10">
        <v>2</v>
      </c>
      <c r="R23" s="10">
        <v>0</v>
      </c>
      <c r="S23" s="8">
        <f t="shared" si="0"/>
        <v>15</v>
      </c>
      <c r="T23" s="9">
        <f t="shared" si="1"/>
        <v>0.75</v>
      </c>
      <c r="U23" s="8" t="str">
        <f t="shared" si="2"/>
        <v>PASS</v>
      </c>
    </row>
    <row r="24" spans="1:21" ht="68" customHeight="1" x14ac:dyDescent="0.2">
      <c r="A24" s="5" t="s">
        <v>69</v>
      </c>
      <c r="B24" s="6">
        <v>45582</v>
      </c>
      <c r="C24" s="5" t="s">
        <v>70</v>
      </c>
      <c r="D24" s="5" t="s">
        <v>178</v>
      </c>
      <c r="E24" s="5" t="s">
        <v>115</v>
      </c>
      <c r="F24" s="5" t="s">
        <v>179</v>
      </c>
      <c r="G24" s="5" t="s">
        <v>117</v>
      </c>
      <c r="H24" s="5" t="s">
        <v>180</v>
      </c>
      <c r="I24" s="10">
        <v>2</v>
      </c>
      <c r="J24" s="10">
        <v>2</v>
      </c>
      <c r="K24" s="10">
        <v>2</v>
      </c>
      <c r="L24" s="10">
        <v>2</v>
      </c>
      <c r="M24" s="10">
        <v>2</v>
      </c>
      <c r="N24" s="10">
        <v>2</v>
      </c>
      <c r="O24" s="10">
        <v>2</v>
      </c>
      <c r="P24" s="10">
        <v>2</v>
      </c>
      <c r="Q24" s="10">
        <v>2</v>
      </c>
      <c r="R24" s="10">
        <v>2</v>
      </c>
      <c r="S24" s="8">
        <f t="shared" si="0"/>
        <v>20</v>
      </c>
      <c r="T24" s="9">
        <f t="shared" si="1"/>
        <v>1</v>
      </c>
      <c r="U24" s="8" t="str">
        <f t="shared" si="2"/>
        <v>PASS</v>
      </c>
    </row>
    <row r="25" spans="1:21" ht="68" customHeight="1" x14ac:dyDescent="0.2">
      <c r="A25" s="5" t="s">
        <v>71</v>
      </c>
      <c r="B25" s="6">
        <v>45915</v>
      </c>
      <c r="C25" s="5" t="s">
        <v>72</v>
      </c>
      <c r="D25" s="5" t="s">
        <v>181</v>
      </c>
      <c r="E25" s="5" t="s">
        <v>127</v>
      </c>
      <c r="F25" s="5" t="s">
        <v>182</v>
      </c>
      <c r="G25" s="5" t="s">
        <v>117</v>
      </c>
      <c r="H25" s="5" t="s">
        <v>183</v>
      </c>
      <c r="I25" s="10">
        <v>2</v>
      </c>
      <c r="J25" s="10">
        <v>2</v>
      </c>
      <c r="K25" s="10">
        <v>1</v>
      </c>
      <c r="L25" s="10">
        <v>2</v>
      </c>
      <c r="M25" s="10">
        <v>2</v>
      </c>
      <c r="N25" s="10">
        <v>2</v>
      </c>
      <c r="O25" s="10">
        <v>2</v>
      </c>
      <c r="P25" s="10">
        <v>2</v>
      </c>
      <c r="Q25" s="10">
        <v>2</v>
      </c>
      <c r="R25" s="10">
        <v>0</v>
      </c>
      <c r="S25" s="8">
        <f t="shared" si="0"/>
        <v>17</v>
      </c>
      <c r="T25" s="9">
        <f t="shared" si="1"/>
        <v>0.85</v>
      </c>
      <c r="U25" s="8" t="str">
        <f t="shared" si="2"/>
        <v>PASS</v>
      </c>
    </row>
    <row r="26" spans="1:21" ht="68" customHeight="1" x14ac:dyDescent="0.2">
      <c r="A26" s="5" t="s">
        <v>73</v>
      </c>
      <c r="B26" s="6">
        <v>45835</v>
      </c>
      <c r="C26" s="5" t="s">
        <v>74</v>
      </c>
      <c r="D26" s="5" t="s">
        <v>184</v>
      </c>
      <c r="E26" s="5" t="s">
        <v>127</v>
      </c>
      <c r="F26" s="5" t="s">
        <v>185</v>
      </c>
      <c r="G26" s="5" t="s">
        <v>117</v>
      </c>
      <c r="H26" s="5" t="s">
        <v>186</v>
      </c>
      <c r="I26" s="10">
        <v>2</v>
      </c>
      <c r="J26" s="10">
        <v>2</v>
      </c>
      <c r="K26" s="10">
        <v>1</v>
      </c>
      <c r="L26" s="10">
        <v>2</v>
      </c>
      <c r="M26" s="10">
        <v>2</v>
      </c>
      <c r="N26" s="10">
        <v>2</v>
      </c>
      <c r="O26" s="10">
        <v>2</v>
      </c>
      <c r="P26" s="10">
        <v>1</v>
      </c>
      <c r="Q26" s="10">
        <v>2</v>
      </c>
      <c r="R26" s="10">
        <v>0</v>
      </c>
      <c r="S26" s="8">
        <f t="shared" si="0"/>
        <v>16</v>
      </c>
      <c r="T26" s="9">
        <f t="shared" si="1"/>
        <v>0.8</v>
      </c>
      <c r="U26" s="8" t="str">
        <f t="shared" si="2"/>
        <v>PASS</v>
      </c>
    </row>
    <row r="27" spans="1:21" ht="68" customHeight="1" x14ac:dyDescent="0.2">
      <c r="A27" s="5" t="s">
        <v>75</v>
      </c>
      <c r="B27" s="6">
        <v>45820</v>
      </c>
      <c r="C27" s="5" t="s">
        <v>76</v>
      </c>
      <c r="D27" s="5" t="s">
        <v>187</v>
      </c>
      <c r="E27" s="5" t="s">
        <v>123</v>
      </c>
      <c r="F27" s="5" t="s">
        <v>188</v>
      </c>
      <c r="G27" s="5" t="s">
        <v>117</v>
      </c>
      <c r="H27" s="5" t="s">
        <v>189</v>
      </c>
      <c r="I27" s="10">
        <v>2</v>
      </c>
      <c r="J27" s="10">
        <v>2</v>
      </c>
      <c r="K27" s="10">
        <v>1</v>
      </c>
      <c r="L27" s="10">
        <v>2</v>
      </c>
      <c r="M27" s="10">
        <v>1</v>
      </c>
      <c r="N27" s="10">
        <v>1</v>
      </c>
      <c r="O27" s="10">
        <v>2</v>
      </c>
      <c r="P27" s="10">
        <v>1</v>
      </c>
      <c r="Q27" s="10">
        <v>1</v>
      </c>
      <c r="R27" s="10">
        <v>1</v>
      </c>
      <c r="S27" s="8">
        <f t="shared" si="0"/>
        <v>14</v>
      </c>
      <c r="T27" s="9">
        <f t="shared" si="1"/>
        <v>0.7</v>
      </c>
      <c r="U27" s="8" t="str">
        <f t="shared" si="2"/>
        <v>PASS</v>
      </c>
    </row>
    <row r="28" spans="1:21" ht="68" customHeight="1" x14ac:dyDescent="0.2">
      <c r="A28" s="5" t="s">
        <v>77</v>
      </c>
      <c r="B28" s="6">
        <v>45939</v>
      </c>
      <c r="C28" s="5" t="s">
        <v>78</v>
      </c>
      <c r="D28" s="5" t="s">
        <v>190</v>
      </c>
      <c r="E28" s="5" t="s">
        <v>127</v>
      </c>
      <c r="F28" s="5" t="s">
        <v>191</v>
      </c>
      <c r="G28" s="5" t="s">
        <v>135</v>
      </c>
      <c r="H28" s="5" t="s">
        <v>192</v>
      </c>
      <c r="I28" s="10">
        <v>2</v>
      </c>
      <c r="J28" s="10">
        <v>2</v>
      </c>
      <c r="K28" s="10">
        <v>1</v>
      </c>
      <c r="L28" s="10">
        <v>2</v>
      </c>
      <c r="M28" s="10">
        <v>1</v>
      </c>
      <c r="N28" s="10">
        <v>2</v>
      </c>
      <c r="O28" s="10">
        <v>2</v>
      </c>
      <c r="P28" s="10">
        <v>2</v>
      </c>
      <c r="Q28" s="10">
        <v>2</v>
      </c>
      <c r="R28" s="10">
        <v>1</v>
      </c>
      <c r="S28" s="8">
        <f t="shared" si="0"/>
        <v>17</v>
      </c>
      <c r="T28" s="9">
        <f t="shared" si="1"/>
        <v>0.85</v>
      </c>
      <c r="U28" s="8" t="str">
        <f t="shared" si="2"/>
        <v>PASS</v>
      </c>
    </row>
    <row r="29" spans="1:21" ht="68" customHeight="1" x14ac:dyDescent="0.2">
      <c r="A29" s="5" t="s">
        <v>79</v>
      </c>
      <c r="B29" s="6">
        <v>45566</v>
      </c>
      <c r="C29" s="5" t="s">
        <v>80</v>
      </c>
      <c r="D29" s="5" t="s">
        <v>193</v>
      </c>
      <c r="E29" s="5" t="s">
        <v>123</v>
      </c>
      <c r="F29" s="5" t="s">
        <v>194</v>
      </c>
      <c r="G29" s="5" t="s">
        <v>117</v>
      </c>
      <c r="H29" s="5" t="s">
        <v>195</v>
      </c>
      <c r="I29" s="10">
        <v>2</v>
      </c>
      <c r="J29" s="10">
        <v>2</v>
      </c>
      <c r="K29" s="10">
        <v>1</v>
      </c>
      <c r="L29" s="10">
        <v>2</v>
      </c>
      <c r="M29" s="10">
        <v>1</v>
      </c>
      <c r="N29" s="10">
        <v>1</v>
      </c>
      <c r="O29" s="10">
        <v>2</v>
      </c>
      <c r="P29" s="10">
        <v>1</v>
      </c>
      <c r="Q29" s="10">
        <v>2</v>
      </c>
      <c r="R29" s="10">
        <v>2</v>
      </c>
      <c r="S29" s="8">
        <f t="shared" si="0"/>
        <v>16</v>
      </c>
      <c r="T29" s="9">
        <f t="shared" si="1"/>
        <v>0.8</v>
      </c>
      <c r="U29" s="8" t="str">
        <f t="shared" si="2"/>
        <v>PASS</v>
      </c>
    </row>
    <row r="30" spans="1:21" ht="68" customHeight="1" x14ac:dyDescent="0.2">
      <c r="A30" s="5" t="s">
        <v>81</v>
      </c>
      <c r="B30" s="6">
        <v>45807</v>
      </c>
      <c r="C30" s="5" t="s">
        <v>82</v>
      </c>
      <c r="D30" s="5" t="s">
        <v>196</v>
      </c>
      <c r="E30" s="5" t="s">
        <v>127</v>
      </c>
      <c r="F30" s="5" t="s">
        <v>197</v>
      </c>
      <c r="G30" s="5" t="s">
        <v>117</v>
      </c>
      <c r="H30" s="5" t="s">
        <v>198</v>
      </c>
      <c r="I30" s="10">
        <v>2</v>
      </c>
      <c r="J30" s="10">
        <v>2</v>
      </c>
      <c r="K30" s="10">
        <v>1</v>
      </c>
      <c r="L30" s="10">
        <v>2</v>
      </c>
      <c r="M30" s="10">
        <v>2</v>
      </c>
      <c r="N30" s="10">
        <v>2</v>
      </c>
      <c r="O30" s="10">
        <v>2</v>
      </c>
      <c r="P30" s="10">
        <v>2</v>
      </c>
      <c r="Q30" s="10">
        <v>2</v>
      </c>
      <c r="R30" s="10">
        <v>0</v>
      </c>
      <c r="S30" s="8">
        <f t="shared" si="0"/>
        <v>17</v>
      </c>
      <c r="T30" s="9">
        <f t="shared" si="1"/>
        <v>0.85</v>
      </c>
      <c r="U30" s="8" t="str">
        <f t="shared" si="2"/>
        <v>PASS</v>
      </c>
    </row>
    <row r="31" spans="1:21" ht="68" customHeight="1" x14ac:dyDescent="0.2">
      <c r="A31" s="5" t="s">
        <v>83</v>
      </c>
      <c r="B31" s="6">
        <v>45898</v>
      </c>
      <c r="C31" s="5" t="s">
        <v>84</v>
      </c>
      <c r="D31" s="5" t="s">
        <v>178</v>
      </c>
      <c r="E31" s="5" t="s">
        <v>115</v>
      </c>
      <c r="F31" s="5" t="s">
        <v>199</v>
      </c>
      <c r="G31" s="5" t="s">
        <v>135</v>
      </c>
      <c r="H31" s="5" t="s">
        <v>200</v>
      </c>
      <c r="I31" s="7">
        <v>2</v>
      </c>
      <c r="J31" s="7">
        <v>2</v>
      </c>
      <c r="K31" s="7">
        <v>2</v>
      </c>
      <c r="L31" s="7">
        <v>2</v>
      </c>
      <c r="M31" s="7">
        <v>2</v>
      </c>
      <c r="N31" s="7">
        <v>2</v>
      </c>
      <c r="O31" s="7">
        <v>2</v>
      </c>
      <c r="P31" s="7">
        <v>2</v>
      </c>
      <c r="Q31" s="7">
        <v>2</v>
      </c>
      <c r="R31" s="7">
        <v>1</v>
      </c>
      <c r="S31" s="8">
        <f t="shared" si="0"/>
        <v>19</v>
      </c>
      <c r="T31" s="9">
        <f t="shared" si="1"/>
        <v>0.95</v>
      </c>
      <c r="U31" s="8" t="str">
        <f t="shared" si="2"/>
        <v>PASS</v>
      </c>
    </row>
    <row r="32" spans="1:21" ht="68" customHeight="1" x14ac:dyDescent="0.2">
      <c r="A32" s="5" t="s">
        <v>85</v>
      </c>
      <c r="B32" s="6">
        <v>45512</v>
      </c>
      <c r="C32" s="5" t="s">
        <v>86</v>
      </c>
      <c r="D32" s="5" t="s">
        <v>201</v>
      </c>
      <c r="E32" s="5" t="s">
        <v>127</v>
      </c>
      <c r="F32" s="5" t="s">
        <v>202</v>
      </c>
      <c r="G32" s="5" t="s">
        <v>117</v>
      </c>
      <c r="H32" s="5" t="s">
        <v>203</v>
      </c>
      <c r="I32" s="11">
        <v>2</v>
      </c>
      <c r="J32" s="11">
        <v>1</v>
      </c>
      <c r="K32" s="11">
        <v>1</v>
      </c>
      <c r="L32" s="11">
        <v>1</v>
      </c>
      <c r="M32" s="11">
        <v>1</v>
      </c>
      <c r="N32" s="11">
        <v>1</v>
      </c>
      <c r="O32" s="11">
        <v>2</v>
      </c>
      <c r="P32" s="11">
        <v>1</v>
      </c>
      <c r="Q32" s="11">
        <v>1</v>
      </c>
      <c r="R32" s="11">
        <v>0</v>
      </c>
      <c r="S32" s="12">
        <f t="shared" si="0"/>
        <v>11</v>
      </c>
      <c r="T32" s="13">
        <f t="shared" si="1"/>
        <v>0.55000000000000004</v>
      </c>
      <c r="U32" s="12" t="str">
        <f t="shared" si="2"/>
        <v>FAIL</v>
      </c>
    </row>
    <row r="33" spans="1:21" ht="68" customHeight="1" x14ac:dyDescent="0.2">
      <c r="A33" s="5" t="s">
        <v>87</v>
      </c>
      <c r="B33" s="6">
        <v>45798</v>
      </c>
      <c r="C33" s="5" t="s">
        <v>88</v>
      </c>
      <c r="D33" s="5" t="s">
        <v>204</v>
      </c>
      <c r="E33" s="5" t="s">
        <v>127</v>
      </c>
      <c r="F33" s="5" t="s">
        <v>205</v>
      </c>
      <c r="G33" s="5" t="s">
        <v>117</v>
      </c>
      <c r="H33" s="5" t="s">
        <v>206</v>
      </c>
      <c r="I33" s="11">
        <v>2</v>
      </c>
      <c r="J33" s="11">
        <v>2</v>
      </c>
      <c r="K33" s="11">
        <v>1</v>
      </c>
      <c r="L33" s="11">
        <v>2</v>
      </c>
      <c r="M33" s="11">
        <v>1</v>
      </c>
      <c r="N33" s="11">
        <v>1</v>
      </c>
      <c r="O33" s="11">
        <v>1</v>
      </c>
      <c r="P33" s="11">
        <v>1</v>
      </c>
      <c r="Q33" s="11">
        <v>1</v>
      </c>
      <c r="R33" s="11">
        <v>0</v>
      </c>
      <c r="S33" s="12">
        <f t="shared" si="0"/>
        <v>12</v>
      </c>
      <c r="T33" s="13">
        <f t="shared" si="1"/>
        <v>0.6</v>
      </c>
      <c r="U33" s="12" t="str">
        <f t="shared" si="2"/>
        <v>FAIL</v>
      </c>
    </row>
    <row r="34" spans="1:21" ht="51" customHeight="1" x14ac:dyDescent="0.2">
      <c r="A34" s="5" t="s">
        <v>89</v>
      </c>
      <c r="B34" s="6">
        <v>45566</v>
      </c>
      <c r="C34" s="5" t="s">
        <v>90</v>
      </c>
      <c r="D34" s="5" t="s">
        <v>193</v>
      </c>
      <c r="E34" s="5" t="s">
        <v>127</v>
      </c>
      <c r="F34" s="5" t="s">
        <v>207</v>
      </c>
      <c r="G34" s="5" t="s">
        <v>135</v>
      </c>
      <c r="H34" s="5" t="s">
        <v>208</v>
      </c>
      <c r="I34" s="11">
        <v>2</v>
      </c>
      <c r="J34" s="11">
        <v>1</v>
      </c>
      <c r="K34" s="11">
        <v>1</v>
      </c>
      <c r="L34" s="11">
        <v>1</v>
      </c>
      <c r="M34" s="11">
        <v>2</v>
      </c>
      <c r="N34" s="11">
        <v>1</v>
      </c>
      <c r="O34" s="11">
        <v>2</v>
      </c>
      <c r="P34" s="11">
        <v>1</v>
      </c>
      <c r="Q34" s="11">
        <v>1</v>
      </c>
      <c r="R34" s="11">
        <v>0</v>
      </c>
      <c r="S34" s="12">
        <f t="shared" si="0"/>
        <v>12</v>
      </c>
      <c r="T34" s="13">
        <f t="shared" si="1"/>
        <v>0.6</v>
      </c>
      <c r="U34" s="12" t="str">
        <f t="shared" si="2"/>
        <v>FAIL</v>
      </c>
    </row>
    <row r="35" spans="1:21" ht="68" customHeight="1" x14ac:dyDescent="0.2">
      <c r="A35" s="5" t="s">
        <v>91</v>
      </c>
      <c r="B35" s="6">
        <v>45798</v>
      </c>
      <c r="C35" s="5" t="s">
        <v>92</v>
      </c>
      <c r="D35" s="5" t="s">
        <v>204</v>
      </c>
      <c r="E35" s="5" t="s">
        <v>127</v>
      </c>
      <c r="F35" s="5" t="s">
        <v>209</v>
      </c>
      <c r="G35" s="5" t="s">
        <v>117</v>
      </c>
      <c r="H35" s="5" t="s">
        <v>210</v>
      </c>
      <c r="I35" s="11">
        <v>2</v>
      </c>
      <c r="J35" s="11">
        <v>1</v>
      </c>
      <c r="K35" s="11">
        <v>1</v>
      </c>
      <c r="L35" s="11">
        <v>2</v>
      </c>
      <c r="M35" s="11">
        <v>1</v>
      </c>
      <c r="N35" s="11">
        <v>1</v>
      </c>
      <c r="O35" s="11">
        <v>1</v>
      </c>
      <c r="P35" s="11">
        <v>1</v>
      </c>
      <c r="Q35" s="11">
        <v>2</v>
      </c>
      <c r="R35" s="11">
        <v>0</v>
      </c>
      <c r="S35" s="12">
        <f t="shared" si="0"/>
        <v>12</v>
      </c>
      <c r="T35" s="13">
        <f t="shared" si="1"/>
        <v>0.6</v>
      </c>
      <c r="U35" s="12" t="str">
        <f t="shared" si="2"/>
        <v>FAIL</v>
      </c>
    </row>
    <row r="36" spans="1:21" ht="68" customHeight="1" x14ac:dyDescent="0.2">
      <c r="A36" s="5" t="s">
        <v>93</v>
      </c>
      <c r="B36" s="6">
        <v>45807</v>
      </c>
      <c r="C36" s="5" t="s">
        <v>94</v>
      </c>
      <c r="D36" s="5" t="s">
        <v>211</v>
      </c>
      <c r="E36" s="5" t="s">
        <v>127</v>
      </c>
      <c r="F36" s="5" t="s">
        <v>212</v>
      </c>
      <c r="G36" s="5" t="s">
        <v>117</v>
      </c>
      <c r="H36" s="5" t="s">
        <v>213</v>
      </c>
      <c r="I36" s="11">
        <v>2</v>
      </c>
      <c r="J36" s="11">
        <v>1</v>
      </c>
      <c r="K36" s="11">
        <v>1</v>
      </c>
      <c r="L36" s="11">
        <v>2</v>
      </c>
      <c r="M36" s="11">
        <v>1</v>
      </c>
      <c r="N36" s="11">
        <v>1</v>
      </c>
      <c r="O36" s="11">
        <v>2</v>
      </c>
      <c r="P36" s="11">
        <v>1</v>
      </c>
      <c r="Q36" s="11">
        <v>1</v>
      </c>
      <c r="R36" s="11">
        <v>0</v>
      </c>
      <c r="S36" s="12">
        <f t="shared" si="0"/>
        <v>12</v>
      </c>
      <c r="T36" s="13">
        <f t="shared" si="1"/>
        <v>0.6</v>
      </c>
      <c r="U36" s="12" t="str">
        <f t="shared" si="2"/>
        <v>FAIL</v>
      </c>
    </row>
    <row r="37" spans="1:21" ht="76" customHeight="1" x14ac:dyDescent="0.2">
      <c r="A37" s="5" t="s">
        <v>95</v>
      </c>
      <c r="B37" s="6">
        <v>45905</v>
      </c>
      <c r="C37" s="5" t="s">
        <v>96</v>
      </c>
      <c r="D37" s="5" t="s">
        <v>214</v>
      </c>
      <c r="E37" s="5" t="s">
        <v>127</v>
      </c>
      <c r="F37" s="5" t="s">
        <v>215</v>
      </c>
      <c r="G37" s="5" t="s">
        <v>117</v>
      </c>
      <c r="H37" s="5" t="s">
        <v>216</v>
      </c>
      <c r="I37" s="11">
        <v>2</v>
      </c>
      <c r="J37" s="11">
        <v>1</v>
      </c>
      <c r="K37" s="11">
        <v>1</v>
      </c>
      <c r="L37" s="11">
        <v>2</v>
      </c>
      <c r="M37" s="11">
        <v>1</v>
      </c>
      <c r="N37" s="11">
        <v>1</v>
      </c>
      <c r="O37" s="11">
        <v>2</v>
      </c>
      <c r="P37" s="11">
        <v>1</v>
      </c>
      <c r="Q37" s="11">
        <v>1</v>
      </c>
      <c r="R37" s="11">
        <v>0</v>
      </c>
      <c r="S37" s="12">
        <f t="shared" si="0"/>
        <v>12</v>
      </c>
      <c r="T37" s="13">
        <f t="shared" si="1"/>
        <v>0.6</v>
      </c>
      <c r="U37" s="12" t="str">
        <f t="shared" si="2"/>
        <v>FAIL</v>
      </c>
    </row>
    <row r="38" spans="1:21" ht="97" customHeight="1" x14ac:dyDescent="0.2">
      <c r="A38" s="5" t="s">
        <v>97</v>
      </c>
      <c r="B38" s="6">
        <v>45502</v>
      </c>
      <c r="C38" s="5" t="s">
        <v>98</v>
      </c>
      <c r="D38" s="5" t="s">
        <v>217</v>
      </c>
      <c r="E38" s="5" t="s">
        <v>127</v>
      </c>
      <c r="F38" s="5" t="s">
        <v>218</v>
      </c>
      <c r="G38" s="5" t="s">
        <v>117</v>
      </c>
      <c r="H38" s="5" t="s">
        <v>219</v>
      </c>
      <c r="I38" s="11">
        <v>2</v>
      </c>
      <c r="J38" s="11">
        <v>1</v>
      </c>
      <c r="K38" s="11">
        <v>0</v>
      </c>
      <c r="L38" s="11">
        <v>2</v>
      </c>
      <c r="M38" s="11">
        <v>1</v>
      </c>
      <c r="N38" s="11">
        <v>1</v>
      </c>
      <c r="O38" s="11">
        <v>1</v>
      </c>
      <c r="P38" s="11">
        <v>0</v>
      </c>
      <c r="Q38" s="11">
        <v>1</v>
      </c>
      <c r="R38" s="11">
        <v>0</v>
      </c>
      <c r="S38" s="12">
        <f t="shared" si="0"/>
        <v>9</v>
      </c>
      <c r="T38" s="13">
        <f t="shared" si="1"/>
        <v>0.45</v>
      </c>
      <c r="U38" s="12" t="str">
        <f t="shared" si="2"/>
        <v>FAIL</v>
      </c>
    </row>
    <row r="39" spans="1:21" ht="68" customHeight="1" x14ac:dyDescent="0.2">
      <c r="A39" s="5" t="s">
        <v>99</v>
      </c>
      <c r="B39" s="6">
        <v>45553</v>
      </c>
      <c r="C39" s="5" t="s">
        <v>100</v>
      </c>
      <c r="D39" s="5" t="s">
        <v>220</v>
      </c>
      <c r="E39" s="5" t="s">
        <v>127</v>
      </c>
      <c r="F39" s="5" t="s">
        <v>221</v>
      </c>
      <c r="G39" s="5" t="s">
        <v>135</v>
      </c>
      <c r="H39" s="5" t="s">
        <v>222</v>
      </c>
      <c r="I39" s="11">
        <v>2</v>
      </c>
      <c r="J39" s="11">
        <v>1</v>
      </c>
      <c r="K39" s="11">
        <v>1</v>
      </c>
      <c r="L39" s="11">
        <v>1</v>
      </c>
      <c r="M39" s="11">
        <v>0</v>
      </c>
      <c r="N39" s="11">
        <v>2</v>
      </c>
      <c r="O39" s="11">
        <v>1</v>
      </c>
      <c r="P39" s="11">
        <v>1</v>
      </c>
      <c r="Q39" s="11">
        <v>1</v>
      </c>
      <c r="R39" s="11">
        <v>1</v>
      </c>
      <c r="S39" s="12">
        <f t="shared" si="0"/>
        <v>11</v>
      </c>
      <c r="T39" s="13">
        <f t="shared" si="1"/>
        <v>0.55000000000000004</v>
      </c>
      <c r="U39" s="12" t="str">
        <f t="shared" si="2"/>
        <v>FAIL</v>
      </c>
    </row>
    <row r="40" spans="1:21" ht="51" customHeight="1" x14ac:dyDescent="0.2">
      <c r="A40" s="5" t="s">
        <v>101</v>
      </c>
      <c r="B40" s="6">
        <v>45566</v>
      </c>
      <c r="C40" s="5" t="s">
        <v>102</v>
      </c>
      <c r="D40" s="5" t="s">
        <v>223</v>
      </c>
      <c r="E40" s="5" t="s">
        <v>123</v>
      </c>
      <c r="F40" s="5" t="s">
        <v>224</v>
      </c>
      <c r="G40" s="5" t="s">
        <v>135</v>
      </c>
      <c r="H40" s="5" t="s">
        <v>225</v>
      </c>
      <c r="I40" s="11">
        <v>2</v>
      </c>
      <c r="J40" s="11">
        <v>2</v>
      </c>
      <c r="K40" s="11">
        <v>1</v>
      </c>
      <c r="L40" s="11">
        <v>1</v>
      </c>
      <c r="M40" s="11">
        <v>0</v>
      </c>
      <c r="N40" s="11">
        <v>1</v>
      </c>
      <c r="O40" s="11">
        <v>1</v>
      </c>
      <c r="P40" s="11">
        <v>1</v>
      </c>
      <c r="Q40" s="11">
        <v>1</v>
      </c>
      <c r="R40" s="11">
        <v>1</v>
      </c>
      <c r="S40" s="12">
        <f t="shared" si="0"/>
        <v>11</v>
      </c>
      <c r="T40" s="13">
        <f t="shared" si="1"/>
        <v>0.55000000000000004</v>
      </c>
      <c r="U40" s="12" t="str">
        <f t="shared" si="2"/>
        <v>FAIL</v>
      </c>
    </row>
    <row r="41" spans="1:21" ht="85" customHeight="1" x14ac:dyDescent="0.2">
      <c r="A41" s="5" t="s">
        <v>103</v>
      </c>
      <c r="B41" s="6">
        <v>45811</v>
      </c>
      <c r="C41" s="5" t="s">
        <v>104</v>
      </c>
      <c r="D41" s="5" t="s">
        <v>226</v>
      </c>
      <c r="E41" s="5" t="s">
        <v>127</v>
      </c>
      <c r="F41" s="5" t="s">
        <v>227</v>
      </c>
      <c r="G41" s="5" t="s">
        <v>117</v>
      </c>
      <c r="H41" s="5" t="s">
        <v>228</v>
      </c>
      <c r="I41" s="11">
        <v>2</v>
      </c>
      <c r="J41" s="11">
        <v>1</v>
      </c>
      <c r="K41" s="11">
        <v>1</v>
      </c>
      <c r="L41" s="11">
        <v>0</v>
      </c>
      <c r="M41" s="11">
        <v>0</v>
      </c>
      <c r="N41" s="11">
        <v>1</v>
      </c>
      <c r="O41" s="11">
        <v>1</v>
      </c>
      <c r="P41" s="11">
        <v>0</v>
      </c>
      <c r="Q41" s="11">
        <v>1</v>
      </c>
      <c r="R41" s="11">
        <v>0</v>
      </c>
      <c r="S41" s="12">
        <f t="shared" si="0"/>
        <v>7</v>
      </c>
      <c r="T41" s="13">
        <f t="shared" si="1"/>
        <v>0.35</v>
      </c>
      <c r="U41" s="12" t="str">
        <f t="shared" si="2"/>
        <v>FAIL</v>
      </c>
    </row>
    <row r="42" spans="1:21" x14ac:dyDescent="0.2">
      <c r="T42" s="20"/>
    </row>
    <row r="46" spans="1:21" x14ac:dyDescent="0.2">
      <c r="C46" s="14"/>
    </row>
  </sheetData>
  <autoFilter ref="T1:T46" xr:uid="{00000000-0001-0000-0200-000000000000}"/>
  <mergeCells count="1">
    <mergeCell ref="A1:H1"/>
  </mergeCells>
  <dataValidations count="3">
    <dataValidation type="list" allowBlank="1" error="Enter 0, 1, or 2" prompt="0=No, 1=Partial, 2=Yes" sqref="I9:R17 I19:R30" xr:uid="{00000000-0002-0000-0200-000000000000}">
      <formula1>"0,1,2"</formula1>
    </dataValidation>
    <dataValidation type="list" allowBlank="1" errorTitle="Invalid Entry" error="Please select from list" sqref="E3:E30" xr:uid="{00000000-0002-0000-0200-000001000000}">
      <formula1>"Journal,Conference,Workshop,Preprint"</formula1>
    </dataValidation>
    <dataValidation type="list" allowBlank="1" errorTitle="Invalid Entry" error="Please select from list" sqref="B3:B30" xr:uid="{00000000-0002-0000-0200-000002000000}">
      <formula1>"2017,2018,2019,2020,2021,2022,2023,2024,2025"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Ensiye's QA</vt:lpstr>
      <vt:lpstr>Boris's QA</vt:lpstr>
      <vt:lpstr>Final Quality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Kraychev</dc:creator>
  <cp:lastModifiedBy>Boris Kraychev</cp:lastModifiedBy>
  <dcterms:created xsi:type="dcterms:W3CDTF">2026-02-03T09:28:55Z</dcterms:created>
  <dcterms:modified xsi:type="dcterms:W3CDTF">2026-03-30T09:09:26Z</dcterms:modified>
</cp:coreProperties>
</file>